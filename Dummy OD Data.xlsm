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B:\PBQS\Detective\Police Laboratory\Controlled Substance Analysis Section\CSAS Common\Case Management\Roth\ODs\"/>
    </mc:Choice>
  </mc:AlternateContent>
  <bookViews>
    <workbookView xWindow="0" yWindow="0" windowWidth="14400" windowHeight="8640" tabRatio="500" activeTab="1"/>
  </bookViews>
  <sheets>
    <sheet name="Analysis" sheetId="8" r:id="rId1"/>
    <sheet name="Data" sheetId="1" r:id="rId2"/>
    <sheet name="Packaging Standards" sheetId="12" state="hidden" r:id="rId3"/>
    <sheet name="BORO Ref" sheetId="11" state="hidden" r:id="rId4"/>
    <sheet name="IDs" sheetId="2" r:id="rId5"/>
    <sheet name="INDs" sheetId="3" r:id="rId6"/>
    <sheet name="Ds" sheetId="10" r:id="rId7"/>
    <sheet name="FED" sheetId="4" r:id="rId8"/>
    <sheet name="FENT" sheetId="13" r:id="rId9"/>
    <sheet name="FIS" sheetId="5" r:id="rId10"/>
    <sheet name="Diluant Ref" sheetId="9" state="hidden" r:id="rId11"/>
  </sheets>
  <functionGroups builtInGroupCount="18"/>
  <definedNames>
    <definedName name="_xlnm._FilterDatabase" localSheetId="4" hidden="1">IDs!$A$3:$J$45</definedName>
    <definedName name="_xlcn.WorksheetConnection_AnalyzedODCasesMay2018.xlsmTable1" hidden="1">Table1[]</definedName>
  </definedNames>
  <calcPr calcId="162913"/>
  <pivotCaches>
    <pivotCache cacheId="30" r:id="rId12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Analyzed OD Cases May 2018.xlsm!Table1"/>
        </x15:modelTables>
      </x15:dataModel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10" i="1"/>
  <c r="R13" i="1"/>
  <c r="R14" i="1"/>
  <c r="R11" i="1"/>
  <c r="R12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O4" i="1" a="1"/>
  <c r="O4" i="1" s="1"/>
  <c r="O5" i="1" a="1"/>
  <c r="O5" i="1" s="1"/>
  <c r="O6" i="1" a="1"/>
  <c r="O6" i="1" s="1"/>
  <c r="O7" i="1" a="1"/>
  <c r="O7" i="1" s="1"/>
  <c r="O8" i="1" a="1"/>
  <c r="O8" i="1" s="1"/>
  <c r="O9" i="1" a="1"/>
  <c r="O9" i="1" s="1"/>
  <c r="O10" i="1" a="1"/>
  <c r="O10" i="1" s="1"/>
  <c r="O13" i="1" a="1"/>
  <c r="O13" i="1" s="1"/>
  <c r="O14" i="1" a="1"/>
  <c r="O14" i="1" s="1"/>
  <c r="O11" i="1" a="1"/>
  <c r="O11" i="1" s="1"/>
  <c r="O12" i="1" a="1"/>
  <c r="O12" i="1" s="1"/>
  <c r="O15" i="1" a="1"/>
  <c r="O15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1" i="1" a="1"/>
  <c r="O21" i="1" s="1"/>
  <c r="O22" i="1" a="1"/>
  <c r="O22" i="1" s="1"/>
  <c r="O23" i="1" a="1"/>
  <c r="O23" i="1" s="1"/>
  <c r="O24" i="1" a="1"/>
  <c r="O24" i="1" s="1"/>
  <c r="O25" i="1" a="1"/>
  <c r="O25" i="1" s="1"/>
  <c r="O26" i="1" a="1"/>
  <c r="O26" i="1" s="1"/>
  <c r="O27" i="1" a="1"/>
  <c r="O27" i="1" s="1"/>
  <c r="O28" i="1" a="1"/>
  <c r="O28" i="1" s="1"/>
  <c r="O29" i="1" a="1"/>
  <c r="O29" i="1" s="1"/>
  <c r="O30" i="1" a="1"/>
  <c r="O30" i="1" s="1"/>
  <c r="O31" i="1" a="1"/>
  <c r="O31" i="1" s="1"/>
  <c r="O32" i="1" a="1"/>
  <c r="O32" i="1" s="1"/>
  <c r="O33" i="1" a="1"/>
  <c r="O33" i="1" s="1"/>
  <c r="O34" i="1" a="1"/>
  <c r="O34" i="1" s="1"/>
  <c r="O35" i="1" a="1"/>
  <c r="O35" i="1" s="1"/>
  <c r="O36" i="1" a="1"/>
  <c r="O36" i="1" s="1"/>
  <c r="O37" i="1" a="1"/>
  <c r="O37" i="1" s="1"/>
  <c r="O38" i="1" a="1"/>
  <c r="O38" i="1" s="1"/>
  <c r="O39" i="1" a="1"/>
  <c r="O39" i="1" s="1"/>
  <c r="O40" i="1" a="1"/>
  <c r="O40" i="1" s="1"/>
  <c r="O41" i="1" a="1"/>
  <c r="O41" i="1" s="1"/>
  <c r="O42" i="1" a="1"/>
  <c r="O42" i="1" s="1"/>
  <c r="O43" i="1" a="1"/>
  <c r="O43" i="1" s="1"/>
  <c r="O44" i="1" a="1"/>
  <c r="O44" i="1" s="1"/>
  <c r="O45" i="1" a="1"/>
  <c r="O45" i="1" s="1"/>
  <c r="R9" i="1"/>
  <c r="P4" i="1" l="1"/>
  <c r="P5" i="1"/>
  <c r="P6" i="1"/>
  <c r="P7" i="1"/>
  <c r="P8" i="1"/>
  <c r="P9" i="1"/>
  <c r="P10" i="1"/>
  <c r="P13" i="1"/>
  <c r="P14" i="1"/>
  <c r="P11" i="1"/>
  <c r="P12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AF4" i="1" l="1"/>
  <c r="AF5" i="1"/>
  <c r="AF6" i="1"/>
  <c r="AF7" i="1"/>
  <c r="AF8" i="1"/>
  <c r="AF9" i="1"/>
  <c r="AF10" i="1"/>
  <c r="AF13" i="1"/>
  <c r="AF14" i="1"/>
  <c r="AF11" i="1"/>
  <c r="AF12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4" i="1" l="1"/>
  <c r="A5" i="1"/>
  <c r="A6" i="1"/>
  <c r="A9" i="1"/>
  <c r="A7" i="1"/>
  <c r="A8" i="1"/>
  <c r="A10" i="1"/>
  <c r="A14" i="1"/>
  <c r="A13" i="1"/>
  <c r="A11" i="1"/>
  <c r="A12" i="1"/>
  <c r="A15" i="1"/>
  <c r="A16" i="1"/>
  <c r="A17" i="1"/>
  <c r="A18" i="1"/>
  <c r="A19" i="1"/>
  <c r="A20" i="1"/>
  <c r="A21" i="1"/>
  <c r="A22" i="1"/>
  <c r="A25" i="1"/>
  <c r="A24" i="1"/>
  <c r="A23" i="1"/>
  <c r="A28" i="1"/>
  <c r="A27" i="1"/>
  <c r="A26" i="1"/>
  <c r="A30" i="1"/>
  <c r="A29" i="1"/>
  <c r="A31" i="1"/>
  <c r="A33" i="1"/>
  <c r="A32" i="1"/>
  <c r="A35" i="1"/>
  <c r="A34" i="1"/>
  <c r="A36" i="1"/>
  <c r="A39" i="1"/>
  <c r="A38" i="1"/>
  <c r="A37" i="1"/>
  <c r="A40" i="1"/>
  <c r="A41" i="1"/>
  <c r="A42" i="1"/>
  <c r="A43" i="1"/>
  <c r="A45" i="1"/>
  <c r="A44" i="1"/>
  <c r="A14" i="13" l="1"/>
  <c r="A44" i="13"/>
  <c r="C44" i="13" s="1" a="1"/>
  <c r="F44" i="13" s="1"/>
  <c r="A43" i="13"/>
  <c r="C43" i="13" s="1" a="1"/>
  <c r="A18" i="13"/>
  <c r="C18" i="13" s="1" a="1"/>
  <c r="A5" i="13"/>
  <c r="C5" i="13" s="1" a="1"/>
  <c r="A45" i="13"/>
  <c r="A15" i="13"/>
  <c r="C15" i="13" s="1" a="1"/>
  <c r="A12" i="13"/>
  <c r="A9" i="13"/>
  <c r="C9" i="13" s="1" a="1"/>
  <c r="A8" i="13"/>
  <c r="A42" i="13"/>
  <c r="C42" i="13" s="1" a="1"/>
  <c r="D42" i="13" s="1"/>
  <c r="A10" i="13"/>
  <c r="A6" i="13"/>
  <c r="C6" i="13" s="1" a="1"/>
  <c r="A17" i="13"/>
  <c r="C17" i="13" s="1" a="1"/>
  <c r="A13" i="13"/>
  <c r="C13" i="13" s="1" a="1"/>
  <c r="A16" i="13"/>
  <c r="C16" i="13" s="1" a="1"/>
  <c r="A11" i="13"/>
  <c r="C11" i="13" s="1" a="1"/>
  <c r="A7" i="13"/>
  <c r="C7" i="13" s="1" a="1"/>
  <c r="A28" i="13"/>
  <c r="C28" i="13" s="1" a="1"/>
  <c r="A37" i="13"/>
  <c r="C37" i="13" s="1" a="1"/>
  <c r="A34" i="13"/>
  <c r="C34" i="13" s="1" a="1"/>
  <c r="A31" i="13"/>
  <c r="C31" i="13" s="1" a="1"/>
  <c r="A27" i="13"/>
  <c r="C27" i="13" s="1" a="1"/>
  <c r="A25" i="13"/>
  <c r="C25" i="13" s="1" a="1"/>
  <c r="A19" i="13"/>
  <c r="C19" i="13" s="1" a="1"/>
  <c r="C12" i="13" a="1"/>
  <c r="A35" i="13"/>
  <c r="C35" i="13" s="1" a="1"/>
  <c r="A29" i="13"/>
  <c r="C29" i="13" s="1" a="1"/>
  <c r="C14" i="13" a="1"/>
  <c r="C10" i="13" a="1"/>
  <c r="A38" i="13"/>
  <c r="C38" i="13" s="1" a="1"/>
  <c r="A22" i="13"/>
  <c r="C22" i="13" s="1" a="1"/>
  <c r="C8" i="13" a="1"/>
  <c r="C45" i="13" a="1"/>
  <c r="A41" i="13"/>
  <c r="C41" i="13" s="1" a="1"/>
  <c r="A39" i="13"/>
  <c r="C39" i="13" s="1" a="1"/>
  <c r="A32" i="13"/>
  <c r="C32" i="13" s="1" a="1"/>
  <c r="A30" i="13"/>
  <c r="C30" i="13" s="1" a="1"/>
  <c r="A23" i="13"/>
  <c r="C23" i="13" s="1" a="1"/>
  <c r="A21" i="13"/>
  <c r="C21" i="13" s="1" a="1"/>
  <c r="A40" i="13"/>
  <c r="C40" i="13" s="1" a="1"/>
  <c r="A36" i="13"/>
  <c r="C36" i="13" s="1" a="1"/>
  <c r="A33" i="13"/>
  <c r="C33" i="13" s="1" a="1"/>
  <c r="A26" i="13"/>
  <c r="C26" i="13" s="1" a="1"/>
  <c r="A24" i="13"/>
  <c r="C24" i="13" s="1" a="1"/>
  <c r="A20" i="13"/>
  <c r="C20" i="13" s="1" a="1"/>
  <c r="A4" i="13"/>
  <c r="A10" i="2"/>
  <c r="A9" i="5"/>
  <c r="A9" i="4"/>
  <c r="A9" i="10"/>
  <c r="A9" i="3"/>
  <c r="A6" i="5"/>
  <c r="A6" i="10"/>
  <c r="A6" i="4"/>
  <c r="A6" i="3"/>
  <c r="A15" i="2"/>
  <c r="A13" i="2"/>
  <c r="A7" i="2"/>
  <c r="A36" i="2"/>
  <c r="A36" i="5"/>
  <c r="A36" i="4"/>
  <c r="A36" i="10"/>
  <c r="A36" i="3"/>
  <c r="A32" i="5"/>
  <c r="A32" i="4"/>
  <c r="A32" i="10"/>
  <c r="A32" i="3"/>
  <c r="A30" i="5"/>
  <c r="A30" i="4"/>
  <c r="A30" i="10"/>
  <c r="A30" i="3"/>
  <c r="A5" i="2"/>
  <c r="A17" i="5"/>
  <c r="A17" i="4"/>
  <c r="A17" i="10"/>
  <c r="A17" i="3"/>
  <c r="A38" i="2"/>
  <c r="A11" i="2"/>
  <c r="A21" i="5"/>
  <c r="A21" i="4"/>
  <c r="A21" i="10"/>
  <c r="A21" i="3"/>
  <c r="A37" i="2"/>
  <c r="A16" i="2"/>
  <c r="A24" i="2"/>
  <c r="A19" i="5"/>
  <c r="A19" i="4"/>
  <c r="A19" i="10"/>
  <c r="A19" i="3"/>
  <c r="A14" i="5"/>
  <c r="A14" i="10"/>
  <c r="A14" i="4"/>
  <c r="A14" i="3"/>
  <c r="A42" i="2"/>
  <c r="A43" i="2"/>
  <c r="A12" i="5"/>
  <c r="A12" i="4"/>
  <c r="A12" i="10"/>
  <c r="A12" i="3"/>
  <c r="A6" i="2"/>
  <c r="A30" i="2"/>
  <c r="A21" i="2"/>
  <c r="A28" i="2"/>
  <c r="A12" i="2"/>
  <c r="A41" i="5"/>
  <c r="A41" i="4"/>
  <c r="A41" i="10"/>
  <c r="A41" i="3"/>
  <c r="A40" i="5"/>
  <c r="A40" i="10"/>
  <c r="A40" i="3"/>
  <c r="A40" i="4"/>
  <c r="A45" i="2"/>
  <c r="A27" i="5"/>
  <c r="A27" i="4"/>
  <c r="A27" i="10"/>
  <c r="A27" i="3"/>
  <c r="A18" i="2"/>
  <c r="A24" i="5"/>
  <c r="A24" i="4"/>
  <c r="A24" i="10"/>
  <c r="A24" i="3"/>
  <c r="A17" i="2"/>
  <c r="A23" i="5"/>
  <c r="A23" i="4"/>
  <c r="A23" i="3"/>
  <c r="A23" i="10"/>
  <c r="A33" i="2"/>
  <c r="A35" i="2"/>
  <c r="A4" i="2"/>
  <c r="A8" i="2"/>
  <c r="A22" i="2"/>
  <c r="A31" i="2"/>
  <c r="A41" i="2"/>
  <c r="A9" i="2"/>
  <c r="A27" i="2"/>
  <c r="A11" i="5"/>
  <c r="A11" i="4"/>
  <c r="A11" i="3"/>
  <c r="A11" i="10"/>
  <c r="A39" i="2"/>
  <c r="A8" i="5"/>
  <c r="A8" i="4"/>
  <c r="A8" i="10"/>
  <c r="A8" i="3"/>
  <c r="A7" i="5"/>
  <c r="A7" i="4"/>
  <c r="A7" i="10"/>
  <c r="A7" i="3"/>
  <c r="A45" i="5"/>
  <c r="A45" i="4"/>
  <c r="A45" i="10"/>
  <c r="A45" i="3"/>
  <c r="A35" i="5"/>
  <c r="A35" i="4"/>
  <c r="A35" i="10"/>
  <c r="A35" i="3"/>
  <c r="A5" i="5"/>
  <c r="A5" i="4"/>
  <c r="A5" i="10"/>
  <c r="A5" i="3"/>
  <c r="A34" i="5"/>
  <c r="A34" i="4"/>
  <c r="A34" i="3"/>
  <c r="A34" i="10"/>
  <c r="A19" i="2"/>
  <c r="A31" i="5"/>
  <c r="A31" i="4"/>
  <c r="A31" i="10"/>
  <c r="A31" i="3"/>
  <c r="A29" i="5"/>
  <c r="A29" i="4"/>
  <c r="A29" i="10"/>
  <c r="A29" i="3"/>
  <c r="A25" i="5"/>
  <c r="A25" i="4"/>
  <c r="A25" i="10"/>
  <c r="A25" i="3"/>
  <c r="A40" i="2"/>
  <c r="A23" i="2"/>
  <c r="A15" i="5"/>
  <c r="A15" i="4"/>
  <c r="A15" i="10"/>
  <c r="A15" i="3"/>
  <c r="A29" i="2"/>
  <c r="A16" i="5"/>
  <c r="A16" i="10"/>
  <c r="A16" i="4"/>
  <c r="A16" i="3"/>
  <c r="A14" i="2"/>
  <c r="A26" i="2"/>
  <c r="A13" i="5"/>
  <c r="A13" i="4"/>
  <c r="A13" i="10"/>
  <c r="A13" i="3"/>
  <c r="A10" i="5"/>
  <c r="A10" i="10"/>
  <c r="A10" i="4"/>
  <c r="A10" i="3"/>
  <c r="A34" i="2"/>
  <c r="A18" i="5"/>
  <c r="A18" i="4"/>
  <c r="A18" i="10"/>
  <c r="A25" i="2"/>
  <c r="A18" i="3"/>
  <c r="A20" i="2"/>
  <c r="A44" i="2"/>
  <c r="A44" i="5"/>
  <c r="A44" i="4"/>
  <c r="A44" i="3"/>
  <c r="A44" i="10"/>
  <c r="A43" i="5"/>
  <c r="A43" i="4"/>
  <c r="A43" i="10"/>
  <c r="A43" i="3"/>
  <c r="A42" i="5"/>
  <c r="A42" i="4"/>
  <c r="A42" i="10"/>
  <c r="A42" i="3"/>
  <c r="A39" i="5"/>
  <c r="A39" i="4"/>
  <c r="A39" i="10"/>
  <c r="A39" i="3"/>
  <c r="A38" i="5"/>
  <c r="A38" i="4"/>
  <c r="A38" i="10"/>
  <c r="A38" i="3"/>
  <c r="A37" i="5"/>
  <c r="A37" i="4"/>
  <c r="A37" i="10"/>
  <c r="A37" i="3"/>
  <c r="A33" i="5"/>
  <c r="A33" i="10"/>
  <c r="A33" i="4"/>
  <c r="A33" i="3"/>
  <c r="A28" i="5"/>
  <c r="A28" i="4"/>
  <c r="A28" i="10"/>
  <c r="A28" i="3"/>
  <c r="A26" i="5"/>
  <c r="A26" i="4"/>
  <c r="A26" i="10"/>
  <c r="A26" i="3"/>
  <c r="A32" i="2"/>
  <c r="A22" i="5"/>
  <c r="A22" i="4"/>
  <c r="A22" i="10"/>
  <c r="A22" i="3"/>
  <c r="A20" i="5"/>
  <c r="A20" i="4"/>
  <c r="A20" i="10"/>
  <c r="A20" i="3"/>
  <c r="A4" i="3"/>
  <c r="A4" i="10"/>
  <c r="A4" i="4"/>
  <c r="A4" i="5"/>
  <c r="Q4" i="1"/>
  <c r="Q5" i="1"/>
  <c r="Q6" i="1"/>
  <c r="Q7" i="1"/>
  <c r="Q8" i="1"/>
  <c r="Q9" i="1"/>
  <c r="Q10" i="1"/>
  <c r="Q13" i="1"/>
  <c r="Q14" i="1"/>
  <c r="Q11" i="1"/>
  <c r="Q12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I44" i="13" l="1"/>
  <c r="H44" i="13"/>
  <c r="J44" i="13"/>
  <c r="G44" i="13"/>
  <c r="E44" i="13"/>
  <c r="C44" i="13"/>
  <c r="D44" i="13"/>
  <c r="F42" i="13"/>
  <c r="J42" i="13"/>
  <c r="I42" i="13"/>
  <c r="H42" i="13"/>
  <c r="C42" i="13"/>
  <c r="G42" i="13"/>
  <c r="E42" i="13"/>
  <c r="D32" i="13"/>
  <c r="C32" i="13"/>
  <c r="J32" i="13"/>
  <c r="E32" i="13"/>
  <c r="F32" i="13"/>
  <c r="G32" i="13"/>
  <c r="I32" i="13"/>
  <c r="H32" i="13"/>
  <c r="C4" i="13" a="1"/>
  <c r="C45" i="13"/>
  <c r="E45" i="13"/>
  <c r="J45" i="13"/>
  <c r="H45" i="13"/>
  <c r="F45" i="13"/>
  <c r="D45" i="13"/>
  <c r="G45" i="13"/>
  <c r="I45" i="13"/>
  <c r="G13" i="13"/>
  <c r="I13" i="13"/>
  <c r="H13" i="13"/>
  <c r="E13" i="13"/>
  <c r="D13" i="13"/>
  <c r="C13" i="13"/>
  <c r="J13" i="13"/>
  <c r="F13" i="13"/>
  <c r="I14" i="13"/>
  <c r="G14" i="13"/>
  <c r="F14" i="13"/>
  <c r="D14" i="13"/>
  <c r="J14" i="13"/>
  <c r="H14" i="13"/>
  <c r="E14" i="13"/>
  <c r="C14" i="13"/>
  <c r="I15" i="13"/>
  <c r="F15" i="13"/>
  <c r="E15" i="13"/>
  <c r="G15" i="13"/>
  <c r="D15" i="13"/>
  <c r="C15" i="13"/>
  <c r="J15" i="13"/>
  <c r="H15" i="13"/>
  <c r="C25" i="13"/>
  <c r="E25" i="13"/>
  <c r="J25" i="13"/>
  <c r="H25" i="13"/>
  <c r="G25" i="13"/>
  <c r="F25" i="13"/>
  <c r="D25" i="13"/>
  <c r="I25" i="13"/>
  <c r="D31" i="13"/>
  <c r="C31" i="13"/>
  <c r="I31" i="13"/>
  <c r="J31" i="13"/>
  <c r="H31" i="13"/>
  <c r="F31" i="13"/>
  <c r="E31" i="13"/>
  <c r="G31" i="13"/>
  <c r="F37" i="13"/>
  <c r="E37" i="13"/>
  <c r="G37" i="13"/>
  <c r="H37" i="13"/>
  <c r="C37" i="13"/>
  <c r="D37" i="13"/>
  <c r="I37" i="13"/>
  <c r="J37" i="13"/>
  <c r="C33" i="13"/>
  <c r="F33" i="13"/>
  <c r="E33" i="13"/>
  <c r="H33" i="13"/>
  <c r="D33" i="13"/>
  <c r="G33" i="13"/>
  <c r="J33" i="13"/>
  <c r="I33" i="13"/>
  <c r="H20" i="13"/>
  <c r="I20" i="13"/>
  <c r="E20" i="13"/>
  <c r="D20" i="13"/>
  <c r="J20" i="13"/>
  <c r="C20" i="13"/>
  <c r="F20" i="13"/>
  <c r="G20" i="13"/>
  <c r="G26" i="13"/>
  <c r="I26" i="13"/>
  <c r="D26" i="13"/>
  <c r="F26" i="13"/>
  <c r="H26" i="13"/>
  <c r="J26" i="13"/>
  <c r="C26" i="13"/>
  <c r="E26" i="13"/>
  <c r="F21" i="13"/>
  <c r="C21" i="13"/>
  <c r="E21" i="13"/>
  <c r="D21" i="13"/>
  <c r="I21" i="13"/>
  <c r="G21" i="13"/>
  <c r="H21" i="13"/>
  <c r="J21" i="13"/>
  <c r="I30" i="13"/>
  <c r="G30" i="13"/>
  <c r="F30" i="13"/>
  <c r="D30" i="13"/>
  <c r="J30" i="13"/>
  <c r="H30" i="13"/>
  <c r="E30" i="13"/>
  <c r="C30" i="13"/>
  <c r="D39" i="13"/>
  <c r="H39" i="13"/>
  <c r="J39" i="13"/>
  <c r="G39" i="13"/>
  <c r="I39" i="13"/>
  <c r="F39" i="13"/>
  <c r="C39" i="13"/>
  <c r="E39" i="13"/>
  <c r="C17" i="13"/>
  <c r="G17" i="13"/>
  <c r="I17" i="13"/>
  <c r="E17" i="13"/>
  <c r="J17" i="13"/>
  <c r="H17" i="13"/>
  <c r="F17" i="13"/>
  <c r="D17" i="13"/>
  <c r="E38" i="13"/>
  <c r="G38" i="13"/>
  <c r="J38" i="13"/>
  <c r="H38" i="13"/>
  <c r="C38" i="13"/>
  <c r="F38" i="13"/>
  <c r="D38" i="13"/>
  <c r="I38" i="13"/>
  <c r="H18" i="13"/>
  <c r="J18" i="13"/>
  <c r="C18" i="13"/>
  <c r="E18" i="13"/>
  <c r="G18" i="13"/>
  <c r="I18" i="13"/>
  <c r="D18" i="13"/>
  <c r="F18" i="13"/>
  <c r="J35" i="13"/>
  <c r="C35" i="13"/>
  <c r="H35" i="13"/>
  <c r="G35" i="13"/>
  <c r="E35" i="13"/>
  <c r="D35" i="13"/>
  <c r="F35" i="13"/>
  <c r="I35" i="13"/>
  <c r="C43" i="13"/>
  <c r="D43" i="13"/>
  <c r="G43" i="13"/>
  <c r="H43" i="13"/>
  <c r="F43" i="13"/>
  <c r="E43" i="13"/>
  <c r="J43" i="13"/>
  <c r="I43" i="13"/>
  <c r="D24" i="13"/>
  <c r="C24" i="13"/>
  <c r="J24" i="13"/>
  <c r="E24" i="13"/>
  <c r="H24" i="13"/>
  <c r="F24" i="13"/>
  <c r="G24" i="13"/>
  <c r="I24" i="13"/>
  <c r="I7" i="13"/>
  <c r="J7" i="13"/>
  <c r="H7" i="13"/>
  <c r="F7" i="13"/>
  <c r="E7" i="13"/>
  <c r="G7" i="13"/>
  <c r="D7" i="13"/>
  <c r="C7" i="13"/>
  <c r="E36" i="13"/>
  <c r="H36" i="13"/>
  <c r="C36" i="13"/>
  <c r="J36" i="13"/>
  <c r="D36" i="13"/>
  <c r="F36" i="13"/>
  <c r="G36" i="13"/>
  <c r="I36" i="13"/>
  <c r="I11" i="13"/>
  <c r="J11" i="13"/>
  <c r="H11" i="13"/>
  <c r="F11" i="13"/>
  <c r="E11" i="13"/>
  <c r="G11" i="13"/>
  <c r="D11" i="13"/>
  <c r="C11" i="13"/>
  <c r="E5" i="13"/>
  <c r="H5" i="13"/>
  <c r="G5" i="13"/>
  <c r="D5" i="13"/>
  <c r="F5" i="13"/>
  <c r="C5" i="13"/>
  <c r="J5" i="13"/>
  <c r="I5" i="13"/>
  <c r="I6" i="13"/>
  <c r="G6" i="13"/>
  <c r="F6" i="13"/>
  <c r="D6" i="13"/>
  <c r="J6" i="13"/>
  <c r="H6" i="13"/>
  <c r="E6" i="13"/>
  <c r="C6" i="13"/>
  <c r="C9" i="13"/>
  <c r="G9" i="13"/>
  <c r="I9" i="13"/>
  <c r="E9" i="13"/>
  <c r="J9" i="13"/>
  <c r="H9" i="13"/>
  <c r="F9" i="13"/>
  <c r="D9" i="13"/>
  <c r="C19" i="13"/>
  <c r="F19" i="13"/>
  <c r="H19" i="13"/>
  <c r="E19" i="13"/>
  <c r="D19" i="13"/>
  <c r="I19" i="13"/>
  <c r="G19" i="13"/>
  <c r="J19" i="13"/>
  <c r="G27" i="13"/>
  <c r="J27" i="13"/>
  <c r="I27" i="13"/>
  <c r="C27" i="13"/>
  <c r="F27" i="13"/>
  <c r="H27" i="13"/>
  <c r="E27" i="13"/>
  <c r="D27" i="13"/>
  <c r="F34" i="13"/>
  <c r="G34" i="13"/>
  <c r="I34" i="13"/>
  <c r="H34" i="13"/>
  <c r="C34" i="13"/>
  <c r="J34" i="13"/>
  <c r="D34" i="13"/>
  <c r="E34" i="13"/>
  <c r="C16" i="13"/>
  <c r="I16" i="13"/>
  <c r="D16" i="13"/>
  <c r="F16" i="13"/>
  <c r="E16" i="13"/>
  <c r="G16" i="13"/>
  <c r="J16" i="13"/>
  <c r="H16" i="13"/>
  <c r="H40" i="13"/>
  <c r="F40" i="13"/>
  <c r="D40" i="13"/>
  <c r="E40" i="13"/>
  <c r="J40" i="13"/>
  <c r="C40" i="13"/>
  <c r="G40" i="13"/>
  <c r="I40" i="13"/>
  <c r="D23" i="13"/>
  <c r="C23" i="13"/>
  <c r="J23" i="13"/>
  <c r="H23" i="13"/>
  <c r="F23" i="13"/>
  <c r="E23" i="13"/>
  <c r="G23" i="13"/>
  <c r="I23" i="13"/>
  <c r="C41" i="13"/>
  <c r="E41" i="13"/>
  <c r="J41" i="13"/>
  <c r="H41" i="13"/>
  <c r="F41" i="13"/>
  <c r="D41" i="13"/>
  <c r="I41" i="13"/>
  <c r="G41" i="13"/>
  <c r="H8" i="13"/>
  <c r="G8" i="13"/>
  <c r="J8" i="13"/>
  <c r="E8" i="13"/>
  <c r="C8" i="13"/>
  <c r="I8" i="13"/>
  <c r="D8" i="13"/>
  <c r="F8" i="13"/>
  <c r="F22" i="13"/>
  <c r="D22" i="13"/>
  <c r="J22" i="13"/>
  <c r="H22" i="13"/>
  <c r="E22" i="13"/>
  <c r="C22" i="13"/>
  <c r="I22" i="13"/>
  <c r="G22" i="13"/>
  <c r="F10" i="13"/>
  <c r="D10" i="13"/>
  <c r="J10" i="13"/>
  <c r="H10" i="13"/>
  <c r="E10" i="13"/>
  <c r="C10" i="13"/>
  <c r="I10" i="13"/>
  <c r="G10" i="13"/>
  <c r="F29" i="13"/>
  <c r="J29" i="13"/>
  <c r="I29" i="13"/>
  <c r="H29" i="13"/>
  <c r="G29" i="13"/>
  <c r="E29" i="13"/>
  <c r="D29" i="13"/>
  <c r="C29" i="13"/>
  <c r="J12" i="13"/>
  <c r="I12" i="13"/>
  <c r="C12" i="13"/>
  <c r="E12" i="13"/>
  <c r="D12" i="13"/>
  <c r="F12" i="13"/>
  <c r="H12" i="13"/>
  <c r="G12" i="13"/>
  <c r="G28" i="13"/>
  <c r="E28" i="13"/>
  <c r="D28" i="13"/>
  <c r="J28" i="13"/>
  <c r="C28" i="13"/>
  <c r="F28" i="13"/>
  <c r="I28" i="13"/>
  <c r="H28" i="13"/>
  <c r="C37" i="5" a="1"/>
  <c r="D37" i="5" s="1"/>
  <c r="C26" i="5" a="1"/>
  <c r="C26" i="5" s="1"/>
  <c r="C38" i="5" a="1"/>
  <c r="C39" i="4" a="1"/>
  <c r="H39" i="4" s="1"/>
  <c r="C42" i="4" a="1"/>
  <c r="D42" i="4" s="1"/>
  <c r="C44" i="5" a="1"/>
  <c r="C10" i="4" a="1"/>
  <c r="C13" i="4" a="1"/>
  <c r="F13" i="4" s="1"/>
  <c r="C14" i="2" a="1"/>
  <c r="G14" i="2" s="1"/>
  <c r="C16" i="4" a="1"/>
  <c r="G16" i="4" s="1"/>
  <c r="C15" i="10" a="1"/>
  <c r="C31" i="5" a="1"/>
  <c r="G31" i="5" s="1"/>
  <c r="C34" i="4" a="1"/>
  <c r="C5" i="10" a="1"/>
  <c r="C7" i="5" a="1"/>
  <c r="G7" i="5" s="1"/>
  <c r="C39" i="2" a="1"/>
  <c r="C39" i="2" s="1"/>
  <c r="C11" i="10" a="1"/>
  <c r="C9" i="2" a="1"/>
  <c r="D9" i="2" s="1"/>
  <c r="C31" i="2" a="1"/>
  <c r="F31" i="2" s="1"/>
  <c r="C22" i="2" a="1"/>
  <c r="J22" i="2" s="1"/>
  <c r="C8" i="2" a="1"/>
  <c r="G8" i="2" s="1"/>
  <c r="C4" i="2" a="1"/>
  <c r="E4" i="2" s="1"/>
  <c r="C23" i="5" a="1"/>
  <c r="C24" i="5" a="1"/>
  <c r="J24" i="5" s="1"/>
  <c r="C27" i="4" a="1"/>
  <c r="J27" i="4" s="1"/>
  <c r="C40" i="4" a="1"/>
  <c r="C41" i="4" a="1"/>
  <c r="C12" i="10" a="1"/>
  <c r="C19" i="10" a="1"/>
  <c r="J19" i="10" s="1"/>
  <c r="C16" i="2" a="1"/>
  <c r="E16" i="2" s="1"/>
  <c r="C21" i="4" a="1"/>
  <c r="J21" i="4" s="1"/>
  <c r="C17" i="4" a="1"/>
  <c r="D17" i="4" s="1"/>
  <c r="C30" i="5" a="1"/>
  <c r="F30" i="5" s="1"/>
  <c r="C32" i="4" a="1"/>
  <c r="C36" i="10" a="1"/>
  <c r="D36" i="10" s="1"/>
  <c r="C6" i="10" a="1"/>
  <c r="I6" i="10" s="1"/>
  <c r="C9" i="10" a="1"/>
  <c r="I9" i="10" s="1"/>
  <c r="C4" i="3" a="1"/>
  <c r="H4" i="3" s="1"/>
  <c r="C28" i="3" a="1"/>
  <c r="C33" i="3" a="1"/>
  <c r="C16" i="3" a="1"/>
  <c r="C15" i="3" a="1"/>
  <c r="C34" i="3" a="1"/>
  <c r="C5" i="3" a="1"/>
  <c r="C12" i="3" a="1"/>
  <c r="C14" i="3" a="1"/>
  <c r="C19" i="3" a="1"/>
  <c r="C36" i="3" a="1"/>
  <c r="C9" i="3" a="1"/>
  <c r="C26" i="3" a="1"/>
  <c r="C37" i="3" a="1"/>
  <c r="C43" i="3" a="1"/>
  <c r="C18" i="3" a="1"/>
  <c r="C25" i="3" a="1"/>
  <c r="C29" i="3" a="1"/>
  <c r="C35" i="3" a="1"/>
  <c r="C45" i="3" a="1"/>
  <c r="C8" i="3" a="1"/>
  <c r="C30" i="3" a="1"/>
  <c r="C22" i="3" a="1"/>
  <c r="C38" i="3" a="1"/>
  <c r="C31" i="3" a="1"/>
  <c r="C7" i="3" a="1"/>
  <c r="C11" i="3" a="1"/>
  <c r="C24" i="3" a="1"/>
  <c r="C40" i="3" a="1"/>
  <c r="C20" i="3" a="1"/>
  <c r="C39" i="3" a="1"/>
  <c r="C42" i="3" a="1"/>
  <c r="C44" i="3" a="1"/>
  <c r="C10" i="3" a="1"/>
  <c r="C13" i="3" a="1"/>
  <c r="C23" i="3" a="1"/>
  <c r="C27" i="3" a="1"/>
  <c r="C41" i="3" a="1"/>
  <c r="C21" i="3" a="1"/>
  <c r="C17" i="3" a="1"/>
  <c r="C32" i="3" a="1"/>
  <c r="C6" i="3" a="1"/>
  <c r="E22" i="2"/>
  <c r="B42" i="13"/>
  <c r="B24" i="13"/>
  <c r="B10" i="13"/>
  <c r="B25" i="13"/>
  <c r="B36" i="13"/>
  <c r="B28" i="13"/>
  <c r="B38" i="13"/>
  <c r="B8" i="13"/>
  <c r="B31" i="13"/>
  <c r="B23" i="13"/>
  <c r="B45" i="13"/>
  <c r="B27" i="13"/>
  <c r="B13" i="13"/>
  <c r="B33" i="13"/>
  <c r="B11" i="13"/>
  <c r="B32" i="13"/>
  <c r="B18" i="13"/>
  <c r="B22" i="13"/>
  <c r="B37" i="13"/>
  <c r="B41" i="13"/>
  <c r="B26" i="13"/>
  <c r="B34" i="13"/>
  <c r="B14" i="13"/>
  <c r="B39" i="13"/>
  <c r="B5" i="13"/>
  <c r="B20" i="13"/>
  <c r="B7" i="13"/>
  <c r="B29" i="13"/>
  <c r="B21" i="13"/>
  <c r="B35" i="13"/>
  <c r="B44" i="13"/>
  <c r="B43" i="13"/>
  <c r="B40" i="13"/>
  <c r="B15" i="13"/>
  <c r="B17" i="13"/>
  <c r="B6" i="13"/>
  <c r="B30" i="13"/>
  <c r="B9" i="13"/>
  <c r="B12" i="13"/>
  <c r="B16" i="13"/>
  <c r="B19" i="13"/>
  <c r="F8" i="2" l="1"/>
  <c r="E8" i="2"/>
  <c r="C22" i="2"/>
  <c r="C42" i="4"/>
  <c r="J9" i="2"/>
  <c r="F42" i="4"/>
  <c r="I39" i="2"/>
  <c r="J4" i="2"/>
  <c r="C37" i="5"/>
  <c r="C39" i="4"/>
  <c r="H21" i="4"/>
  <c r="C16" i="2"/>
  <c r="D8" i="2"/>
  <c r="I8" i="2"/>
  <c r="G22" i="2"/>
  <c r="I22" i="2"/>
  <c r="I21" i="4"/>
  <c r="C13" i="4"/>
  <c r="E39" i="4"/>
  <c r="H8" i="2"/>
  <c r="J8" i="2"/>
  <c r="D22" i="2"/>
  <c r="H22" i="2"/>
  <c r="E17" i="4"/>
  <c r="E13" i="4"/>
  <c r="C8" i="2"/>
  <c r="F22" i="2"/>
  <c r="C17" i="4"/>
  <c r="G4" i="2"/>
  <c r="I17" i="4"/>
  <c r="F17" i="4"/>
  <c r="G17" i="4"/>
  <c r="F21" i="4"/>
  <c r="E21" i="4"/>
  <c r="H27" i="4"/>
  <c r="C27" i="4"/>
  <c r="F27" i="4"/>
  <c r="D27" i="4"/>
  <c r="I27" i="4"/>
  <c r="J31" i="5"/>
  <c r="C31" i="5"/>
  <c r="H31" i="5"/>
  <c r="I31" i="5"/>
  <c r="D31" i="5"/>
  <c r="E31" i="5"/>
  <c r="H17" i="4"/>
  <c r="G21" i="4"/>
  <c r="C21" i="4"/>
  <c r="E27" i="4"/>
  <c r="F31" i="5"/>
  <c r="J17" i="4"/>
  <c r="D21" i="4"/>
  <c r="G27" i="4"/>
  <c r="D13" i="4"/>
  <c r="G13" i="4"/>
  <c r="J13" i="4"/>
  <c r="I13" i="4"/>
  <c r="F39" i="4"/>
  <c r="D39" i="4"/>
  <c r="J39" i="4"/>
  <c r="I39" i="4"/>
  <c r="H13" i="4"/>
  <c r="G39" i="4"/>
  <c r="F19" i="10"/>
  <c r="H19" i="10"/>
  <c r="D19" i="10"/>
  <c r="I19" i="10"/>
  <c r="C19" i="10"/>
  <c r="G19" i="10"/>
  <c r="H41" i="4"/>
  <c r="E41" i="4"/>
  <c r="D41" i="4"/>
  <c r="I41" i="4"/>
  <c r="C41" i="4"/>
  <c r="G41" i="4"/>
  <c r="J41" i="4"/>
  <c r="G34" i="4"/>
  <c r="I34" i="4"/>
  <c r="C34" i="4"/>
  <c r="F34" i="4"/>
  <c r="J34" i="4"/>
  <c r="D34" i="4"/>
  <c r="H34" i="4"/>
  <c r="E34" i="4"/>
  <c r="E19" i="10"/>
  <c r="F41" i="4"/>
  <c r="C4" i="2"/>
  <c r="F4" i="2"/>
  <c r="C7" i="5"/>
  <c r="E7" i="5"/>
  <c r="J7" i="5"/>
  <c r="H7" i="5"/>
  <c r="F7" i="5"/>
  <c r="D7" i="5"/>
  <c r="I7" i="5"/>
  <c r="F26" i="5"/>
  <c r="D26" i="5"/>
  <c r="I26" i="5"/>
  <c r="G26" i="5"/>
  <c r="E26" i="5"/>
  <c r="J26" i="5"/>
  <c r="H26" i="5"/>
  <c r="H4" i="2"/>
  <c r="I4" i="2"/>
  <c r="D4" i="2"/>
  <c r="H9" i="10"/>
  <c r="E6" i="10"/>
  <c r="H42" i="4"/>
  <c r="I16" i="2"/>
  <c r="F16" i="2"/>
  <c r="I12" i="10"/>
  <c r="J12" i="10"/>
  <c r="D12" i="10"/>
  <c r="E12" i="10"/>
  <c r="C12" i="10"/>
  <c r="H12" i="10"/>
  <c r="G12" i="10"/>
  <c r="C31" i="2"/>
  <c r="D31" i="2"/>
  <c r="J31" i="2"/>
  <c r="H31" i="2"/>
  <c r="G11" i="10"/>
  <c r="C11" i="10"/>
  <c r="I11" i="10"/>
  <c r="E11" i="10"/>
  <c r="H11" i="10"/>
  <c r="J11" i="10"/>
  <c r="F11" i="10"/>
  <c r="J15" i="10"/>
  <c r="I15" i="10"/>
  <c r="F15" i="10"/>
  <c r="H15" i="10"/>
  <c r="C15" i="10"/>
  <c r="D15" i="10"/>
  <c r="E15" i="10"/>
  <c r="G15" i="10"/>
  <c r="I14" i="2"/>
  <c r="F14" i="2"/>
  <c r="H14" i="2"/>
  <c r="C14" i="2"/>
  <c r="G16" i="2"/>
  <c r="E31" i="2"/>
  <c r="D39" i="2"/>
  <c r="E14" i="2"/>
  <c r="F12" i="10"/>
  <c r="F9" i="10"/>
  <c r="G9" i="10"/>
  <c r="C9" i="10"/>
  <c r="J9" i="10"/>
  <c r="D9" i="10"/>
  <c r="E9" i="10"/>
  <c r="G6" i="10"/>
  <c r="H6" i="10"/>
  <c r="D6" i="10"/>
  <c r="C6" i="10"/>
  <c r="J6" i="10"/>
  <c r="F6" i="10"/>
  <c r="J30" i="5"/>
  <c r="H30" i="5"/>
  <c r="E30" i="5"/>
  <c r="D30" i="5"/>
  <c r="I30" i="5"/>
  <c r="G30" i="5"/>
  <c r="E40" i="4"/>
  <c r="I40" i="4"/>
  <c r="J40" i="4"/>
  <c r="H40" i="4"/>
  <c r="F40" i="4"/>
  <c r="D40" i="4"/>
  <c r="C40" i="4"/>
  <c r="F23" i="5"/>
  <c r="G23" i="5"/>
  <c r="H23" i="5"/>
  <c r="C23" i="5"/>
  <c r="J23" i="5"/>
  <c r="D23" i="5"/>
  <c r="E23" i="5"/>
  <c r="H9" i="2"/>
  <c r="G9" i="2"/>
  <c r="C9" i="2"/>
  <c r="E9" i="2"/>
  <c r="D16" i="2"/>
  <c r="J16" i="2"/>
  <c r="G31" i="2"/>
  <c r="I9" i="2"/>
  <c r="D14" i="2"/>
  <c r="C30" i="5"/>
  <c r="D11" i="10"/>
  <c r="J39" i="2"/>
  <c r="H39" i="2"/>
  <c r="G39" i="2"/>
  <c r="E39" i="2"/>
  <c r="C5" i="10"/>
  <c r="J5" i="10"/>
  <c r="D5" i="10"/>
  <c r="G5" i="10"/>
  <c r="E5" i="10"/>
  <c r="H5" i="10"/>
  <c r="F5" i="10"/>
  <c r="I5" i="10"/>
  <c r="H16" i="2"/>
  <c r="I31" i="2"/>
  <c r="F9" i="2"/>
  <c r="F39" i="2"/>
  <c r="J14" i="2"/>
  <c r="G40" i="4"/>
  <c r="I23" i="5"/>
  <c r="E42" i="4"/>
  <c r="J42" i="4"/>
  <c r="F37" i="5"/>
  <c r="E37" i="5"/>
  <c r="I37" i="5"/>
  <c r="H37" i="5"/>
  <c r="J37" i="5"/>
  <c r="G37" i="5"/>
  <c r="I42" i="4"/>
  <c r="G42" i="4"/>
  <c r="C32" i="4"/>
  <c r="J32" i="4"/>
  <c r="D32" i="4"/>
  <c r="F24" i="5"/>
  <c r="H24" i="5"/>
  <c r="C24" i="5"/>
  <c r="E24" i="5"/>
  <c r="G24" i="5"/>
  <c r="D24" i="5"/>
  <c r="I24" i="5"/>
  <c r="C10" i="4"/>
  <c r="D10" i="4"/>
  <c r="G10" i="4"/>
  <c r="I10" i="4"/>
  <c r="J10" i="4"/>
  <c r="H10" i="4"/>
  <c r="F10" i="4"/>
  <c r="E10" i="4"/>
  <c r="D44" i="5"/>
  <c r="J44" i="5"/>
  <c r="C44" i="5"/>
  <c r="F44" i="5"/>
  <c r="E44" i="5"/>
  <c r="H44" i="5"/>
  <c r="I44" i="5"/>
  <c r="G44" i="5"/>
  <c r="J38" i="5"/>
  <c r="G38" i="5"/>
  <c r="E38" i="5"/>
  <c r="D38" i="5"/>
  <c r="I38" i="5"/>
  <c r="H38" i="5"/>
  <c r="C38" i="5"/>
  <c r="F38" i="5"/>
  <c r="E4" i="3"/>
  <c r="G4" i="3"/>
  <c r="D4" i="3"/>
  <c r="I4" i="3"/>
  <c r="F4" i="3"/>
  <c r="J4" i="3"/>
  <c r="J36" i="10"/>
  <c r="F36" i="10"/>
  <c r="I16" i="4"/>
  <c r="J16" i="4"/>
  <c r="D16" i="4"/>
  <c r="C16" i="4"/>
  <c r="E16" i="4"/>
  <c r="F16" i="4"/>
  <c r="H16" i="4"/>
  <c r="C4" i="3"/>
  <c r="C4" i="13"/>
  <c r="F4" i="13"/>
  <c r="I4" i="13"/>
  <c r="H4" i="13"/>
  <c r="E4" i="13"/>
  <c r="D4" i="13"/>
  <c r="J4" i="13"/>
  <c r="G4" i="13"/>
  <c r="G36" i="10"/>
  <c r="E36" i="10"/>
  <c r="G32" i="4"/>
  <c r="I32" i="4"/>
  <c r="H36" i="10"/>
  <c r="C36" i="10"/>
  <c r="E32" i="4"/>
  <c r="H32" i="4"/>
  <c r="I36" i="10"/>
  <c r="F32" i="4"/>
  <c r="C22" i="10" a="1"/>
  <c r="C18" i="5" a="1"/>
  <c r="C33" i="4" a="1"/>
  <c r="C28" i="10" a="1"/>
  <c r="C22" i="5" a="1"/>
  <c r="C26" i="10" a="1"/>
  <c r="C13" i="2" a="1"/>
  <c r="C36" i="2" a="1"/>
  <c r="C5" i="2" a="1"/>
  <c r="C38" i="2" a="1"/>
  <c r="C24" i="2" a="1"/>
  <c r="C14" i="5" a="1"/>
  <c r="C43" i="2" a="1"/>
  <c r="C41" i="10" a="1"/>
  <c r="C11" i="5" a="1"/>
  <c r="C8" i="5" a="1"/>
  <c r="C40" i="2" a="1"/>
  <c r="C37" i="4" a="1"/>
  <c r="C36" i="5" a="1"/>
  <c r="C5" i="5" a="1"/>
  <c r="C29" i="4" a="1"/>
  <c r="C25" i="4" a="1"/>
  <c r="C16" i="5" a="1"/>
  <c r="C43" i="4" a="1"/>
  <c r="C36" i="4" a="1"/>
  <c r="C19" i="4" a="1"/>
  <c r="C14" i="4" a="1"/>
  <c r="C41" i="5" a="1"/>
  <c r="C45" i="2" a="1"/>
  <c r="C5" i="4" a="1"/>
  <c r="C15" i="4" a="1"/>
  <c r="C10" i="10" a="1"/>
  <c r="C20" i="2" a="1"/>
  <c r="C42" i="5" a="1"/>
  <c r="C39" i="5" a="1"/>
  <c r="C28" i="5" a="1"/>
  <c r="C6" i="4" a="1"/>
  <c r="C32" i="10" a="1"/>
  <c r="C17" i="10" a="1"/>
  <c r="C27" i="10" a="1"/>
  <c r="C24" i="4" a="1"/>
  <c r="C23" i="4" a="1"/>
  <c r="C45" i="5" a="1"/>
  <c r="C31" i="4" a="1"/>
  <c r="C18" i="4" a="1"/>
  <c r="C42" i="10" a="1"/>
  <c r="C9" i="5" a="1"/>
  <c r="C12" i="5" a="1"/>
  <c r="C40" i="10" a="1"/>
  <c r="C24" i="10" a="1"/>
  <c r="C11" i="4" a="1"/>
  <c r="C15" i="5" a="1"/>
  <c r="C18" i="10" a="1"/>
  <c r="C6" i="5" a="1"/>
  <c r="C32" i="5" a="1"/>
  <c r="C42" i="2" a="1"/>
  <c r="C41" i="2" a="1"/>
  <c r="C34" i="5" a="1"/>
  <c r="C44" i="10" a="1"/>
  <c r="C20" i="4" a="1"/>
  <c r="C22" i="4" a="1"/>
  <c r="C33" i="5" a="1"/>
  <c r="C30" i="4" a="1"/>
  <c r="C21" i="10" a="1"/>
  <c r="C40" i="5" a="1"/>
  <c r="C29" i="5" a="1"/>
  <c r="C44" i="4" a="1"/>
  <c r="C20" i="10" a="1"/>
  <c r="C14" i="10" a="1"/>
  <c r="C21" i="2" a="1"/>
  <c r="C35" i="2" a="1"/>
  <c r="C7" i="10" a="1"/>
  <c r="C45" i="4" a="1"/>
  <c r="C34" i="10" a="1"/>
  <c r="C38" i="10" a="1"/>
  <c r="C10" i="2" a="1"/>
  <c r="C9" i="4" a="1"/>
  <c r="C15" i="2" a="1"/>
  <c r="C7" i="2" a="1"/>
  <c r="C17" i="5" a="1"/>
  <c r="C11" i="2" a="1"/>
  <c r="C21" i="5" a="1"/>
  <c r="C27" i="5" a="1"/>
  <c r="C19" i="2" a="1"/>
  <c r="C25" i="10" a="1"/>
  <c r="C29" i="2" a="1"/>
  <c r="C16" i="10" a="1"/>
  <c r="C26" i="2" a="1"/>
  <c r="C13" i="5" a="1"/>
  <c r="C43" i="10" a="1"/>
  <c r="C37" i="10" a="1"/>
  <c r="C28" i="2" a="1"/>
  <c r="C17" i="2" a="1"/>
  <c r="C7" i="4" a="1"/>
  <c r="C35" i="5" a="1"/>
  <c r="C25" i="5" a="1"/>
  <c r="C23" i="2" a="1"/>
  <c r="C13" i="10" a="1"/>
  <c r="C34" i="2" a="1"/>
  <c r="C44" i="2" a="1"/>
  <c r="C43" i="5" a="1"/>
  <c r="C39" i="10" a="1"/>
  <c r="C26" i="4" a="1"/>
  <c r="C30" i="10" a="1"/>
  <c r="C19" i="5" a="1"/>
  <c r="C12" i="2" a="1"/>
  <c r="C8" i="4" a="1"/>
  <c r="C35" i="4" a="1"/>
  <c r="C31" i="10" a="1"/>
  <c r="C10" i="5" a="1"/>
  <c r="C37" i="2" a="1"/>
  <c r="C12" i="4" a="1"/>
  <c r="C6" i="2" a="1"/>
  <c r="C30" i="2" a="1"/>
  <c r="C18" i="2" a="1"/>
  <c r="C23" i="10" a="1"/>
  <c r="C33" i="2" a="1"/>
  <c r="C27" i="2" a="1"/>
  <c r="C8" i="10" a="1"/>
  <c r="C45" i="10" a="1"/>
  <c r="C35" i="10" a="1"/>
  <c r="C29" i="10" a="1"/>
  <c r="C25" i="2" a="1"/>
  <c r="C33" i="10" a="1"/>
  <c r="C28" i="4" a="1"/>
  <c r="C20" i="5" a="1"/>
  <c r="C4" i="5" a="1"/>
  <c r="C38" i="4" a="1"/>
  <c r="C32" i="2" a="1"/>
  <c r="C4" i="10" a="1"/>
  <c r="C4" i="4" a="1"/>
  <c r="E10" i="3"/>
  <c r="J10" i="3"/>
  <c r="F10" i="3"/>
  <c r="H10" i="3"/>
  <c r="G10" i="3"/>
  <c r="D10" i="3"/>
  <c r="C10" i="3"/>
  <c r="I10" i="3"/>
  <c r="C44" i="3"/>
  <c r="J44" i="3"/>
  <c r="F44" i="3"/>
  <c r="I44" i="3"/>
  <c r="H44" i="3"/>
  <c r="E44" i="3"/>
  <c r="D44" i="3"/>
  <c r="G44" i="3"/>
  <c r="D11" i="3"/>
  <c r="F11" i="3"/>
  <c r="J11" i="3"/>
  <c r="I11" i="3"/>
  <c r="E11" i="3"/>
  <c r="G11" i="3"/>
  <c r="H11" i="3"/>
  <c r="C11" i="3"/>
  <c r="D7" i="3"/>
  <c r="F7" i="3"/>
  <c r="G7" i="3"/>
  <c r="C7" i="3"/>
  <c r="J7" i="3"/>
  <c r="I7" i="3"/>
  <c r="H7" i="3"/>
  <c r="E7" i="3"/>
  <c r="D31" i="3"/>
  <c r="J31" i="3"/>
  <c r="F31" i="3"/>
  <c r="G31" i="3"/>
  <c r="E31" i="3"/>
  <c r="C31" i="3"/>
  <c r="H31" i="3"/>
  <c r="I31" i="3"/>
  <c r="C8" i="3"/>
  <c r="F8" i="3"/>
  <c r="J8" i="3"/>
  <c r="I8" i="3"/>
  <c r="D8" i="3"/>
  <c r="G8" i="3"/>
  <c r="E8" i="3"/>
  <c r="H8" i="3"/>
  <c r="C29" i="3"/>
  <c r="F29" i="3"/>
  <c r="J29" i="3"/>
  <c r="I29" i="3"/>
  <c r="H29" i="3"/>
  <c r="E29" i="3"/>
  <c r="D29" i="3"/>
  <c r="G29" i="3"/>
  <c r="E26" i="3"/>
  <c r="J26" i="3"/>
  <c r="F26" i="3"/>
  <c r="H26" i="3"/>
  <c r="G26" i="3"/>
  <c r="I26" i="3"/>
  <c r="D26" i="3"/>
  <c r="C26" i="3"/>
  <c r="C36" i="3"/>
  <c r="J36" i="3"/>
  <c r="F36" i="3"/>
  <c r="H36" i="3"/>
  <c r="D36" i="3"/>
  <c r="G36" i="3"/>
  <c r="I36" i="3"/>
  <c r="E36" i="3"/>
  <c r="C5" i="3"/>
  <c r="J5" i="3"/>
  <c r="E5" i="3"/>
  <c r="I5" i="3"/>
  <c r="F5" i="3"/>
  <c r="H5" i="3"/>
  <c r="D5" i="3"/>
  <c r="G5" i="3"/>
  <c r="C21" i="3"/>
  <c r="F21" i="3"/>
  <c r="J21" i="3"/>
  <c r="I21" i="3"/>
  <c r="H21" i="3"/>
  <c r="E21" i="3"/>
  <c r="D21" i="3"/>
  <c r="G21" i="3"/>
  <c r="E42" i="3"/>
  <c r="F42" i="3"/>
  <c r="J42" i="3"/>
  <c r="H42" i="3"/>
  <c r="G42" i="3"/>
  <c r="D42" i="3"/>
  <c r="C42" i="3"/>
  <c r="I42" i="3"/>
  <c r="C40" i="3"/>
  <c r="J40" i="3"/>
  <c r="F40" i="3"/>
  <c r="I40" i="3"/>
  <c r="D40" i="3"/>
  <c r="E40" i="3"/>
  <c r="G40" i="3"/>
  <c r="H40" i="3"/>
  <c r="E22" i="3"/>
  <c r="J22" i="3"/>
  <c r="F22" i="3"/>
  <c r="H22" i="3"/>
  <c r="G22" i="3"/>
  <c r="D22" i="3"/>
  <c r="C22" i="3"/>
  <c r="I22" i="3"/>
  <c r="C45" i="3"/>
  <c r="F45" i="3"/>
  <c r="J45" i="3"/>
  <c r="I45" i="3"/>
  <c r="H45" i="3"/>
  <c r="E45" i="3"/>
  <c r="D45" i="3"/>
  <c r="G45" i="3"/>
  <c r="I18" i="3"/>
  <c r="J18" i="3"/>
  <c r="F18" i="3"/>
  <c r="E18" i="3"/>
  <c r="H18" i="3"/>
  <c r="G18" i="3"/>
  <c r="D18" i="3"/>
  <c r="C18" i="3"/>
  <c r="C37" i="3"/>
  <c r="F37" i="3"/>
  <c r="J37" i="3"/>
  <c r="I37" i="3"/>
  <c r="H37" i="3"/>
  <c r="E37" i="3"/>
  <c r="D37" i="3"/>
  <c r="G37" i="3"/>
  <c r="E34" i="3"/>
  <c r="F34" i="3"/>
  <c r="J34" i="3"/>
  <c r="H34" i="3"/>
  <c r="G34" i="3"/>
  <c r="D34" i="3"/>
  <c r="C34" i="3"/>
  <c r="I34" i="3"/>
  <c r="C28" i="3"/>
  <c r="F28" i="3"/>
  <c r="J28" i="3"/>
  <c r="I28" i="3"/>
  <c r="H28" i="3"/>
  <c r="G28" i="3"/>
  <c r="E28" i="3"/>
  <c r="D28" i="3"/>
  <c r="E6" i="3"/>
  <c r="H6" i="3"/>
  <c r="J6" i="3"/>
  <c r="F6" i="3"/>
  <c r="D6" i="3"/>
  <c r="G6" i="3"/>
  <c r="I6" i="3"/>
  <c r="C6" i="3"/>
  <c r="C32" i="3"/>
  <c r="J32" i="3"/>
  <c r="F32" i="3"/>
  <c r="I32" i="3"/>
  <c r="G32" i="3"/>
  <c r="E32" i="3"/>
  <c r="H32" i="3"/>
  <c r="D32" i="3"/>
  <c r="D23" i="3"/>
  <c r="J23" i="3"/>
  <c r="F23" i="3"/>
  <c r="G23" i="3"/>
  <c r="C23" i="3"/>
  <c r="I23" i="3"/>
  <c r="E23" i="3"/>
  <c r="H23" i="3"/>
  <c r="C13" i="3"/>
  <c r="J13" i="3"/>
  <c r="F13" i="3"/>
  <c r="I13" i="3"/>
  <c r="H13" i="3"/>
  <c r="E13" i="3"/>
  <c r="D13" i="3"/>
  <c r="G13" i="3"/>
  <c r="D39" i="3"/>
  <c r="J39" i="3"/>
  <c r="F39" i="3"/>
  <c r="G39" i="3"/>
  <c r="C39" i="3"/>
  <c r="I39" i="3"/>
  <c r="E39" i="3"/>
  <c r="H39" i="3"/>
  <c r="C20" i="3"/>
  <c r="F20" i="3"/>
  <c r="J20" i="3"/>
  <c r="H20" i="3"/>
  <c r="G20" i="3"/>
  <c r="D20" i="3"/>
  <c r="I20" i="3"/>
  <c r="E20" i="3"/>
  <c r="E38" i="3"/>
  <c r="F38" i="3"/>
  <c r="J38" i="3"/>
  <c r="I38" i="3"/>
  <c r="H38" i="3"/>
  <c r="G38" i="3"/>
  <c r="D38" i="3"/>
  <c r="C38" i="3"/>
  <c r="C25" i="3"/>
  <c r="F25" i="3"/>
  <c r="J25" i="3"/>
  <c r="I25" i="3"/>
  <c r="H25" i="3"/>
  <c r="G25" i="3"/>
  <c r="E25" i="3"/>
  <c r="D25" i="3"/>
  <c r="C9" i="3"/>
  <c r="J9" i="3"/>
  <c r="F9" i="3"/>
  <c r="I9" i="3"/>
  <c r="H9" i="3"/>
  <c r="G9" i="3"/>
  <c r="E9" i="3"/>
  <c r="D9" i="3"/>
  <c r="C12" i="3"/>
  <c r="F12" i="3"/>
  <c r="J12" i="3"/>
  <c r="G12" i="3"/>
  <c r="I12" i="3"/>
  <c r="H12" i="3"/>
  <c r="E12" i="3"/>
  <c r="D12" i="3"/>
  <c r="D15" i="3"/>
  <c r="F15" i="3"/>
  <c r="J15" i="3"/>
  <c r="G15" i="3"/>
  <c r="E15" i="3"/>
  <c r="C15" i="3"/>
  <c r="I15" i="3"/>
  <c r="H15" i="3"/>
  <c r="C16" i="3"/>
  <c r="F16" i="3"/>
  <c r="J16" i="3"/>
  <c r="I16" i="3"/>
  <c r="E16" i="3"/>
  <c r="H16" i="3"/>
  <c r="D16" i="3"/>
  <c r="G16" i="3"/>
  <c r="C17" i="3"/>
  <c r="J17" i="3"/>
  <c r="F17" i="3"/>
  <c r="G17" i="3"/>
  <c r="I17" i="3"/>
  <c r="H17" i="3"/>
  <c r="E17" i="3"/>
  <c r="D17" i="3"/>
  <c r="C41" i="3"/>
  <c r="F41" i="3"/>
  <c r="J41" i="3"/>
  <c r="I41" i="3"/>
  <c r="H41" i="3"/>
  <c r="G41" i="3"/>
  <c r="E41" i="3"/>
  <c r="D41" i="3"/>
  <c r="D27" i="3"/>
  <c r="J27" i="3"/>
  <c r="F27" i="3"/>
  <c r="I27" i="3"/>
  <c r="E27" i="3"/>
  <c r="G27" i="3"/>
  <c r="C27" i="3"/>
  <c r="H27" i="3"/>
  <c r="C24" i="3"/>
  <c r="F24" i="3"/>
  <c r="J24" i="3"/>
  <c r="I24" i="3"/>
  <c r="D24" i="3"/>
  <c r="E24" i="3"/>
  <c r="G24" i="3"/>
  <c r="H24" i="3"/>
  <c r="I30" i="3"/>
  <c r="F30" i="3"/>
  <c r="J30" i="3"/>
  <c r="E30" i="3"/>
  <c r="H30" i="3"/>
  <c r="G30" i="3"/>
  <c r="D30" i="3"/>
  <c r="C30" i="3"/>
  <c r="D35" i="3"/>
  <c r="J35" i="3"/>
  <c r="F35" i="3"/>
  <c r="G35" i="3"/>
  <c r="I35" i="3"/>
  <c r="H35" i="3"/>
  <c r="C35" i="3"/>
  <c r="E35" i="3"/>
  <c r="D43" i="3"/>
  <c r="J43" i="3"/>
  <c r="F43" i="3"/>
  <c r="I43" i="3"/>
  <c r="H43" i="3"/>
  <c r="E43" i="3"/>
  <c r="G43" i="3"/>
  <c r="C43" i="3"/>
  <c r="D19" i="3"/>
  <c r="J19" i="3"/>
  <c r="F19" i="3"/>
  <c r="H19" i="3"/>
  <c r="G19" i="3"/>
  <c r="I19" i="3"/>
  <c r="C19" i="3"/>
  <c r="E19" i="3"/>
  <c r="E14" i="3"/>
  <c r="J14" i="3"/>
  <c r="F14" i="3"/>
  <c r="I14" i="3"/>
  <c r="H14" i="3"/>
  <c r="G14" i="3"/>
  <c r="D14" i="3"/>
  <c r="C14" i="3"/>
  <c r="C33" i="3"/>
  <c r="F33" i="3"/>
  <c r="J33" i="3"/>
  <c r="G33" i="3"/>
  <c r="I33" i="3"/>
  <c r="H33" i="3"/>
  <c r="E33" i="3"/>
  <c r="D33" i="3"/>
  <c r="B21" i="4"/>
  <c r="B13" i="4"/>
  <c r="B19" i="10"/>
  <c r="B6" i="10"/>
  <c r="B11" i="10"/>
  <c r="B14" i="2"/>
  <c r="B16" i="2"/>
  <c r="B16" i="4"/>
  <c r="B4" i="13"/>
  <c r="B12" i="3"/>
  <c r="B32" i="4"/>
  <c r="B22" i="3"/>
  <c r="B17" i="3"/>
  <c r="B25" i="3"/>
  <c r="B8" i="2"/>
  <c r="B27" i="4"/>
  <c r="B34" i="4"/>
  <c r="B41" i="4"/>
  <c r="B40" i="4"/>
  <c r="B30" i="5"/>
  <c r="B37" i="5"/>
  <c r="B5" i="10"/>
  <c r="B38" i="5"/>
  <c r="B9" i="3"/>
  <c r="B44" i="3"/>
  <c r="B4" i="3"/>
  <c r="B38" i="3"/>
  <c r="B36" i="10"/>
  <c r="B22" i="2"/>
  <c r="B17" i="4"/>
  <c r="B7" i="5"/>
  <c r="B4" i="2"/>
  <c r="B23" i="5"/>
  <c r="B9" i="2"/>
  <c r="B31" i="2"/>
  <c r="B42" i="4"/>
  <c r="B44" i="5"/>
  <c r="B16" i="3"/>
  <c r="B39" i="3"/>
  <c r="B15" i="3"/>
  <c r="B14" i="3"/>
  <c r="B34" i="3"/>
  <c r="B31" i="5"/>
  <c r="B39" i="4"/>
  <c r="B26" i="5"/>
  <c r="B12" i="10"/>
  <c r="B15" i="10"/>
  <c r="B39" i="2"/>
  <c r="B9" i="10"/>
  <c r="B24" i="5"/>
  <c r="B10" i="4"/>
  <c r="B31" i="3"/>
  <c r="B29" i="3"/>
  <c r="B30" i="3"/>
  <c r="B32" i="3"/>
  <c r="B33" i="3"/>
  <c r="S31" i="1" l="1"/>
  <c r="V4" i="1"/>
  <c r="V18" i="1"/>
  <c r="V44" i="1"/>
  <c r="V8" i="1"/>
  <c r="V20" i="1"/>
  <c r="V30" i="1"/>
  <c r="V10" i="1"/>
  <c r="V13" i="1"/>
  <c r="V27" i="1"/>
  <c r="V24" i="1"/>
  <c r="V32" i="1"/>
  <c r="V16" i="1"/>
  <c r="V9" i="1"/>
  <c r="V31" i="1"/>
  <c r="V26" i="1"/>
  <c r="V39" i="1"/>
  <c r="V35" i="1"/>
  <c r="V42" i="1"/>
  <c r="V34" i="1"/>
  <c r="V33" i="1"/>
  <c r="V41" i="1"/>
  <c r="V29" i="1"/>
  <c r="V5" i="1"/>
  <c r="V37" i="1"/>
  <c r="V21" i="1"/>
  <c r="V38" i="1"/>
  <c r="V12" i="1"/>
  <c r="V19" i="1"/>
  <c r="V14" i="1"/>
  <c r="V23" i="1"/>
  <c r="V22" i="1"/>
  <c r="V28" i="1"/>
  <c r="V25" i="1"/>
  <c r="V45" i="1"/>
  <c r="V40" i="1"/>
  <c r="V7" i="1"/>
  <c r="V15" i="1"/>
  <c r="V43" i="1"/>
  <c r="V17" i="1"/>
  <c r="V36" i="1"/>
  <c r="V11" i="1"/>
  <c r="V6" i="1"/>
  <c r="D22" i="10"/>
  <c r="I22" i="10"/>
  <c r="G22" i="10"/>
  <c r="C22" i="10"/>
  <c r="E22" i="10"/>
  <c r="F22" i="10"/>
  <c r="J22" i="10"/>
  <c r="H22" i="10"/>
  <c r="F38" i="4"/>
  <c r="I38" i="4"/>
  <c r="J38" i="4"/>
  <c r="H38" i="4"/>
  <c r="E38" i="4"/>
  <c r="G38" i="4"/>
  <c r="C38" i="4"/>
  <c r="D38" i="4"/>
  <c r="F45" i="10"/>
  <c r="E45" i="10"/>
  <c r="D45" i="10"/>
  <c r="I45" i="10"/>
  <c r="C45" i="10"/>
  <c r="J45" i="10"/>
  <c r="H45" i="10"/>
  <c r="G45" i="10"/>
  <c r="J4" i="10"/>
  <c r="E4" i="10"/>
  <c r="C4" i="10"/>
  <c r="H4" i="10"/>
  <c r="I4" i="10"/>
  <c r="F4" i="10"/>
  <c r="G4" i="10"/>
  <c r="D4" i="10"/>
  <c r="C33" i="10"/>
  <c r="H33" i="10"/>
  <c r="J33" i="10"/>
  <c r="I33" i="10"/>
  <c r="D33" i="10"/>
  <c r="G33" i="10"/>
  <c r="F33" i="10"/>
  <c r="E33" i="10"/>
  <c r="H25" i="2"/>
  <c r="G25" i="2"/>
  <c r="I25" i="2"/>
  <c r="D25" i="2"/>
  <c r="J25" i="2"/>
  <c r="E25" i="2"/>
  <c r="C25" i="2"/>
  <c r="F25" i="2"/>
  <c r="J4" i="4"/>
  <c r="E4" i="4"/>
  <c r="C4" i="4"/>
  <c r="H4" i="4"/>
  <c r="I4" i="4"/>
  <c r="F4" i="4"/>
  <c r="G4" i="4"/>
  <c r="D4" i="4"/>
  <c r="J20" i="5"/>
  <c r="H20" i="5"/>
  <c r="C20" i="5"/>
  <c r="I20" i="5"/>
  <c r="D20" i="5"/>
  <c r="F20" i="5"/>
  <c r="G20" i="5"/>
  <c r="E20" i="5"/>
  <c r="H33" i="2"/>
  <c r="G33" i="2"/>
  <c r="I33" i="2"/>
  <c r="D33" i="2"/>
  <c r="J33" i="2"/>
  <c r="E33" i="2"/>
  <c r="C33" i="2"/>
  <c r="F33" i="2"/>
  <c r="E18" i="2"/>
  <c r="I18" i="2"/>
  <c r="H18" i="2"/>
  <c r="J18" i="2"/>
  <c r="G18" i="2"/>
  <c r="F18" i="2"/>
  <c r="C18" i="2"/>
  <c r="D18" i="2"/>
  <c r="D12" i="4"/>
  <c r="H12" i="4"/>
  <c r="C12" i="4"/>
  <c r="J12" i="4"/>
  <c r="F12" i="4"/>
  <c r="G12" i="4"/>
  <c r="I12" i="4"/>
  <c r="E12" i="4"/>
  <c r="F35" i="4"/>
  <c r="E35" i="4"/>
  <c r="J35" i="4"/>
  <c r="C35" i="4"/>
  <c r="I35" i="4"/>
  <c r="D35" i="4"/>
  <c r="H35" i="4"/>
  <c r="G35" i="4"/>
  <c r="H8" i="4"/>
  <c r="G8" i="4"/>
  <c r="D8" i="4"/>
  <c r="J8" i="4"/>
  <c r="E8" i="4"/>
  <c r="F8" i="4"/>
  <c r="I8" i="4"/>
  <c r="C8" i="4"/>
  <c r="D43" i="5"/>
  <c r="E43" i="5"/>
  <c r="F43" i="5"/>
  <c r="I43" i="5"/>
  <c r="J43" i="5"/>
  <c r="H43" i="5"/>
  <c r="G43" i="5"/>
  <c r="C43" i="5"/>
  <c r="E35" i="5"/>
  <c r="H35" i="5"/>
  <c r="J35" i="5"/>
  <c r="I35" i="5"/>
  <c r="F35" i="5"/>
  <c r="C35" i="5"/>
  <c r="D35" i="5"/>
  <c r="G35" i="5"/>
  <c r="F37" i="10"/>
  <c r="G37" i="10"/>
  <c r="C37" i="10"/>
  <c r="J37" i="10"/>
  <c r="H37" i="10"/>
  <c r="E37" i="10"/>
  <c r="D37" i="10"/>
  <c r="I37" i="10"/>
  <c r="C25" i="10"/>
  <c r="F25" i="10"/>
  <c r="D25" i="10"/>
  <c r="I25" i="10"/>
  <c r="H25" i="10"/>
  <c r="E25" i="10"/>
  <c r="J25" i="10"/>
  <c r="G25" i="10"/>
  <c r="D27" i="5"/>
  <c r="I27" i="5"/>
  <c r="F27" i="5"/>
  <c r="C27" i="5"/>
  <c r="J27" i="5"/>
  <c r="G27" i="5"/>
  <c r="E27" i="5"/>
  <c r="H27" i="5"/>
  <c r="D11" i="2"/>
  <c r="J11" i="2"/>
  <c r="G11" i="2"/>
  <c r="C11" i="2"/>
  <c r="I11" i="2"/>
  <c r="E11" i="2"/>
  <c r="H11" i="2"/>
  <c r="F11" i="2"/>
  <c r="F17" i="5"/>
  <c r="D17" i="5"/>
  <c r="C17" i="5"/>
  <c r="I17" i="5"/>
  <c r="G17" i="5"/>
  <c r="J17" i="5"/>
  <c r="H17" i="5"/>
  <c r="E17" i="5"/>
  <c r="G7" i="2"/>
  <c r="E7" i="2"/>
  <c r="F7" i="2"/>
  <c r="H7" i="2"/>
  <c r="C7" i="2"/>
  <c r="I7" i="2"/>
  <c r="J7" i="2"/>
  <c r="D7" i="2"/>
  <c r="C9" i="4"/>
  <c r="H9" i="4"/>
  <c r="J9" i="4"/>
  <c r="E9" i="4"/>
  <c r="I9" i="4"/>
  <c r="G9" i="4"/>
  <c r="D9" i="4"/>
  <c r="F9" i="4"/>
  <c r="J38" i="10"/>
  <c r="G38" i="10"/>
  <c r="E38" i="10"/>
  <c r="H38" i="10"/>
  <c r="I38" i="10"/>
  <c r="C38" i="10"/>
  <c r="D38" i="10"/>
  <c r="F38" i="10"/>
  <c r="I21" i="2"/>
  <c r="H21" i="2"/>
  <c r="F21" i="2"/>
  <c r="C21" i="2"/>
  <c r="D21" i="2"/>
  <c r="E21" i="2"/>
  <c r="J21" i="2"/>
  <c r="G21" i="2"/>
  <c r="I14" i="10"/>
  <c r="J14" i="10"/>
  <c r="F14" i="10"/>
  <c r="G14" i="10"/>
  <c r="D14" i="10"/>
  <c r="E14" i="10"/>
  <c r="C14" i="10"/>
  <c r="H14" i="10"/>
  <c r="J20" i="10"/>
  <c r="H20" i="10"/>
  <c r="D20" i="10"/>
  <c r="C20" i="10"/>
  <c r="G20" i="10"/>
  <c r="F20" i="10"/>
  <c r="E20" i="10"/>
  <c r="I20" i="10"/>
  <c r="C44" i="4"/>
  <c r="J44" i="4"/>
  <c r="F44" i="4"/>
  <c r="D44" i="4"/>
  <c r="H44" i="4"/>
  <c r="I44" i="4"/>
  <c r="E44" i="4"/>
  <c r="G44" i="4"/>
  <c r="C40" i="5"/>
  <c r="I40" i="5"/>
  <c r="F40" i="5"/>
  <c r="H40" i="5"/>
  <c r="D40" i="5"/>
  <c r="J40" i="5"/>
  <c r="G40" i="5"/>
  <c r="E40" i="5"/>
  <c r="C20" i="4"/>
  <c r="F20" i="4"/>
  <c r="J20" i="4"/>
  <c r="D20" i="4"/>
  <c r="E20" i="4"/>
  <c r="G20" i="4"/>
  <c r="I20" i="4"/>
  <c r="H20" i="4"/>
  <c r="C42" i="2"/>
  <c r="F42" i="2"/>
  <c r="H42" i="2"/>
  <c r="J42" i="2"/>
  <c r="I42" i="2"/>
  <c r="G42" i="2"/>
  <c r="D42" i="2"/>
  <c r="E42" i="2"/>
  <c r="J12" i="5"/>
  <c r="H12" i="5"/>
  <c r="G12" i="5"/>
  <c r="I12" i="5"/>
  <c r="C12" i="5"/>
  <c r="F12" i="5"/>
  <c r="D12" i="5"/>
  <c r="E12" i="5"/>
  <c r="I45" i="5"/>
  <c r="G45" i="5"/>
  <c r="C45" i="5"/>
  <c r="D45" i="5"/>
  <c r="F45" i="5"/>
  <c r="H45" i="5"/>
  <c r="J45" i="5"/>
  <c r="E45" i="5"/>
  <c r="D17" i="10"/>
  <c r="E17" i="10"/>
  <c r="J17" i="10"/>
  <c r="G17" i="10"/>
  <c r="I17" i="10"/>
  <c r="C17" i="10"/>
  <c r="F17" i="10"/>
  <c r="H17" i="10"/>
  <c r="E42" i="5"/>
  <c r="H42" i="5"/>
  <c r="F42" i="5"/>
  <c r="G42" i="5"/>
  <c r="I42" i="5"/>
  <c r="D42" i="5"/>
  <c r="C42" i="5"/>
  <c r="J42" i="5"/>
  <c r="E10" i="10"/>
  <c r="I10" i="10"/>
  <c r="J10" i="10"/>
  <c r="F10" i="10"/>
  <c r="G10" i="10"/>
  <c r="H10" i="10"/>
  <c r="D10" i="10"/>
  <c r="C10" i="10"/>
  <c r="I15" i="4"/>
  <c r="D15" i="4"/>
  <c r="H15" i="4"/>
  <c r="J15" i="4"/>
  <c r="G15" i="4"/>
  <c r="C15" i="4"/>
  <c r="F15" i="4"/>
  <c r="E15" i="4"/>
  <c r="E14" i="4"/>
  <c r="H14" i="4"/>
  <c r="G14" i="4"/>
  <c r="I14" i="4"/>
  <c r="F14" i="4"/>
  <c r="J14" i="4"/>
  <c r="C14" i="4"/>
  <c r="D14" i="4"/>
  <c r="H37" i="4"/>
  <c r="G37" i="4"/>
  <c r="J37" i="4"/>
  <c r="C37" i="4"/>
  <c r="E37" i="4"/>
  <c r="F37" i="4"/>
  <c r="I37" i="4"/>
  <c r="D37" i="4"/>
  <c r="G8" i="5"/>
  <c r="E8" i="5"/>
  <c r="D8" i="5"/>
  <c r="J8" i="5"/>
  <c r="F8" i="5"/>
  <c r="H8" i="5"/>
  <c r="C8" i="5"/>
  <c r="I8" i="5"/>
  <c r="E14" i="5"/>
  <c r="D14" i="5"/>
  <c r="J14" i="5"/>
  <c r="H14" i="5"/>
  <c r="G14" i="5"/>
  <c r="C14" i="5"/>
  <c r="I14" i="5"/>
  <c r="F14" i="5"/>
  <c r="C22" i="5"/>
  <c r="F22" i="5"/>
  <c r="I22" i="5"/>
  <c r="H22" i="5"/>
  <c r="J22" i="5"/>
  <c r="G22" i="5"/>
  <c r="E22" i="5"/>
  <c r="D22" i="5"/>
  <c r="D28" i="10"/>
  <c r="J28" i="10"/>
  <c r="C28" i="10"/>
  <c r="H28" i="10"/>
  <c r="F28" i="10"/>
  <c r="I28" i="10"/>
  <c r="E28" i="10"/>
  <c r="G28" i="10"/>
  <c r="E18" i="5"/>
  <c r="H18" i="5"/>
  <c r="C18" i="5"/>
  <c r="J18" i="5"/>
  <c r="I18" i="5"/>
  <c r="D18" i="5"/>
  <c r="G18" i="5"/>
  <c r="F18" i="5"/>
  <c r="J19" i="5"/>
  <c r="I19" i="5"/>
  <c r="H19" i="5"/>
  <c r="E19" i="5"/>
  <c r="G19" i="5"/>
  <c r="D19" i="5"/>
  <c r="C19" i="5"/>
  <c r="F19" i="5"/>
  <c r="E44" i="2"/>
  <c r="C44" i="2"/>
  <c r="J44" i="2"/>
  <c r="F44" i="2"/>
  <c r="I44" i="2"/>
  <c r="D44" i="2"/>
  <c r="G44" i="2"/>
  <c r="H44" i="2"/>
  <c r="C34" i="2"/>
  <c r="I34" i="2"/>
  <c r="H34" i="2"/>
  <c r="J34" i="2"/>
  <c r="E34" i="2"/>
  <c r="F34" i="2"/>
  <c r="G34" i="2"/>
  <c r="D34" i="2"/>
  <c r="J13" i="10"/>
  <c r="I13" i="10"/>
  <c r="D13" i="10"/>
  <c r="G13" i="10"/>
  <c r="F13" i="10"/>
  <c r="E13" i="10"/>
  <c r="C13" i="10"/>
  <c r="H13" i="10"/>
  <c r="C23" i="2"/>
  <c r="D23" i="2"/>
  <c r="J23" i="2"/>
  <c r="E23" i="2"/>
  <c r="G23" i="2"/>
  <c r="I23" i="2"/>
  <c r="F23" i="2"/>
  <c r="H23" i="2"/>
  <c r="I25" i="5"/>
  <c r="G25" i="5"/>
  <c r="C25" i="5"/>
  <c r="H25" i="5"/>
  <c r="J25" i="5"/>
  <c r="D25" i="5"/>
  <c r="E25" i="5"/>
  <c r="F25" i="5"/>
  <c r="F16" i="10"/>
  <c r="H16" i="10"/>
  <c r="D16" i="10"/>
  <c r="G16" i="10"/>
  <c r="C16" i="10"/>
  <c r="E16" i="10"/>
  <c r="I16" i="10"/>
  <c r="J16" i="10"/>
  <c r="F21" i="10"/>
  <c r="I21" i="10"/>
  <c r="H21" i="10"/>
  <c r="G21" i="10"/>
  <c r="E21" i="10"/>
  <c r="C21" i="10"/>
  <c r="D21" i="10"/>
  <c r="J21" i="10"/>
  <c r="H41" i="2"/>
  <c r="G41" i="2"/>
  <c r="C41" i="2"/>
  <c r="F41" i="2"/>
  <c r="I41" i="2"/>
  <c r="D41" i="2"/>
  <c r="J41" i="2"/>
  <c r="E41" i="2"/>
  <c r="F15" i="5"/>
  <c r="G15" i="5"/>
  <c r="J15" i="5"/>
  <c r="D15" i="5"/>
  <c r="E15" i="5"/>
  <c r="C15" i="5"/>
  <c r="H15" i="5"/>
  <c r="I15" i="5"/>
  <c r="I24" i="10"/>
  <c r="H24" i="10"/>
  <c r="J24" i="10"/>
  <c r="D24" i="10"/>
  <c r="C24" i="10"/>
  <c r="G24" i="10"/>
  <c r="F24" i="10"/>
  <c r="E24" i="10"/>
  <c r="J9" i="5"/>
  <c r="G9" i="5"/>
  <c r="C9" i="5"/>
  <c r="D9" i="5"/>
  <c r="I9" i="5"/>
  <c r="H9" i="5"/>
  <c r="F9" i="5"/>
  <c r="E9" i="5"/>
  <c r="E42" i="10"/>
  <c r="G42" i="10"/>
  <c r="J42" i="10"/>
  <c r="I42" i="10"/>
  <c r="C42" i="10"/>
  <c r="H42" i="10"/>
  <c r="D42" i="10"/>
  <c r="F42" i="10"/>
  <c r="H31" i="4"/>
  <c r="C31" i="4"/>
  <c r="G31" i="4"/>
  <c r="E31" i="4"/>
  <c r="F31" i="4"/>
  <c r="D31" i="4"/>
  <c r="J31" i="4"/>
  <c r="I31" i="4"/>
  <c r="I24" i="4"/>
  <c r="G24" i="4"/>
  <c r="E24" i="4"/>
  <c r="D24" i="4"/>
  <c r="F24" i="4"/>
  <c r="H24" i="4"/>
  <c r="C24" i="4"/>
  <c r="J24" i="4"/>
  <c r="C32" i="10"/>
  <c r="I32" i="10"/>
  <c r="F32" i="10"/>
  <c r="G32" i="10"/>
  <c r="E32" i="10"/>
  <c r="H32" i="10"/>
  <c r="D32" i="10"/>
  <c r="J32" i="10"/>
  <c r="C5" i="4"/>
  <c r="F5" i="4"/>
  <c r="J5" i="4"/>
  <c r="E5" i="4"/>
  <c r="D5" i="4"/>
  <c r="I5" i="4"/>
  <c r="H5" i="4"/>
  <c r="G5" i="4"/>
  <c r="I19" i="4"/>
  <c r="E19" i="4"/>
  <c r="J19" i="4"/>
  <c r="F19" i="4"/>
  <c r="G19" i="4"/>
  <c r="D19" i="4"/>
  <c r="C19" i="4"/>
  <c r="H19" i="4"/>
  <c r="C36" i="4"/>
  <c r="J36" i="4"/>
  <c r="E36" i="4"/>
  <c r="G36" i="4"/>
  <c r="H36" i="4"/>
  <c r="F36" i="4"/>
  <c r="D36" i="4"/>
  <c r="I36" i="4"/>
  <c r="F16" i="5"/>
  <c r="H16" i="5"/>
  <c r="C16" i="5"/>
  <c r="E16" i="5"/>
  <c r="G16" i="5"/>
  <c r="J16" i="5"/>
  <c r="D16" i="5"/>
  <c r="I16" i="5"/>
  <c r="D29" i="4"/>
  <c r="E29" i="4"/>
  <c r="C29" i="4"/>
  <c r="G29" i="4"/>
  <c r="F29" i="4"/>
  <c r="I29" i="4"/>
  <c r="J29" i="4"/>
  <c r="H29" i="4"/>
  <c r="E40" i="2"/>
  <c r="C40" i="2"/>
  <c r="H40" i="2"/>
  <c r="F40" i="2"/>
  <c r="J40" i="2"/>
  <c r="G40" i="2"/>
  <c r="I40" i="2"/>
  <c r="D40" i="2"/>
  <c r="H41" i="10"/>
  <c r="I41" i="10"/>
  <c r="D41" i="10"/>
  <c r="E41" i="10"/>
  <c r="C41" i="10"/>
  <c r="J41" i="10"/>
  <c r="F41" i="10"/>
  <c r="G41" i="10"/>
  <c r="E24" i="2"/>
  <c r="D24" i="2"/>
  <c r="J24" i="2"/>
  <c r="C24" i="2"/>
  <c r="I24" i="2"/>
  <c r="G24" i="2"/>
  <c r="H24" i="2"/>
  <c r="F24" i="2"/>
  <c r="E36" i="2"/>
  <c r="D36" i="2"/>
  <c r="H36" i="2"/>
  <c r="G36" i="2"/>
  <c r="J36" i="2"/>
  <c r="F36" i="2"/>
  <c r="I36" i="2"/>
  <c r="C36" i="2"/>
  <c r="J33" i="4"/>
  <c r="G33" i="4"/>
  <c r="F33" i="4"/>
  <c r="I33" i="4"/>
  <c r="E33" i="4"/>
  <c r="C33" i="4"/>
  <c r="D33" i="4"/>
  <c r="H33" i="4"/>
  <c r="H28" i="4"/>
  <c r="J28" i="4"/>
  <c r="D28" i="4"/>
  <c r="E28" i="4"/>
  <c r="I28" i="4"/>
  <c r="G28" i="4"/>
  <c r="C28" i="4"/>
  <c r="F28" i="4"/>
  <c r="J29" i="10"/>
  <c r="E29" i="10"/>
  <c r="H29" i="10"/>
  <c r="I29" i="10"/>
  <c r="D29" i="10"/>
  <c r="G29" i="10"/>
  <c r="C29" i="10"/>
  <c r="F29" i="10"/>
  <c r="D27" i="2"/>
  <c r="J27" i="2"/>
  <c r="H27" i="2"/>
  <c r="F27" i="2"/>
  <c r="G27" i="2"/>
  <c r="C27" i="2"/>
  <c r="I27" i="2"/>
  <c r="E27" i="2"/>
  <c r="D30" i="2"/>
  <c r="F30" i="2"/>
  <c r="H30" i="2"/>
  <c r="G30" i="2"/>
  <c r="J30" i="2"/>
  <c r="E30" i="2"/>
  <c r="I30" i="2"/>
  <c r="C30" i="2"/>
  <c r="J12" i="2"/>
  <c r="G12" i="2"/>
  <c r="I12" i="2"/>
  <c r="H12" i="2"/>
  <c r="E12" i="2"/>
  <c r="F12" i="2"/>
  <c r="D12" i="2"/>
  <c r="C12" i="2"/>
  <c r="C26" i="4"/>
  <c r="I26" i="4"/>
  <c r="G26" i="4"/>
  <c r="H26" i="4"/>
  <c r="E26" i="4"/>
  <c r="F26" i="4"/>
  <c r="J26" i="4"/>
  <c r="D26" i="4"/>
  <c r="I43" i="10"/>
  <c r="E43" i="10"/>
  <c r="H43" i="10"/>
  <c r="C43" i="10"/>
  <c r="G43" i="10"/>
  <c r="D43" i="10"/>
  <c r="F43" i="10"/>
  <c r="J43" i="10"/>
  <c r="G26" i="2"/>
  <c r="J26" i="2"/>
  <c r="H26" i="2"/>
  <c r="E26" i="2"/>
  <c r="I26" i="2"/>
  <c r="F26" i="2"/>
  <c r="C26" i="2"/>
  <c r="D26" i="2"/>
  <c r="D19" i="2"/>
  <c r="J19" i="2"/>
  <c r="H19" i="2"/>
  <c r="F19" i="2"/>
  <c r="G19" i="2"/>
  <c r="C19" i="2"/>
  <c r="I19" i="2"/>
  <c r="E19" i="2"/>
  <c r="G15" i="2"/>
  <c r="E15" i="2"/>
  <c r="F15" i="2"/>
  <c r="I15" i="2"/>
  <c r="C15" i="2"/>
  <c r="D15" i="2"/>
  <c r="J15" i="2"/>
  <c r="H15" i="2"/>
  <c r="H10" i="2"/>
  <c r="C10" i="2"/>
  <c r="G10" i="2"/>
  <c r="D10" i="2"/>
  <c r="E10" i="2"/>
  <c r="J10" i="2"/>
  <c r="I10" i="2"/>
  <c r="F10" i="2"/>
  <c r="G35" i="2"/>
  <c r="F35" i="2"/>
  <c r="I35" i="2"/>
  <c r="C35" i="2"/>
  <c r="D35" i="2"/>
  <c r="J35" i="2"/>
  <c r="H35" i="2"/>
  <c r="E35" i="2"/>
  <c r="H33" i="5"/>
  <c r="D33" i="5"/>
  <c r="J33" i="5"/>
  <c r="I33" i="5"/>
  <c r="C33" i="5"/>
  <c r="G33" i="5"/>
  <c r="F33" i="5"/>
  <c r="E33" i="5"/>
  <c r="C32" i="5"/>
  <c r="I32" i="5"/>
  <c r="D32" i="5"/>
  <c r="J32" i="5"/>
  <c r="E32" i="5"/>
  <c r="F32" i="5"/>
  <c r="G32" i="5"/>
  <c r="H32" i="5"/>
  <c r="F11" i="4"/>
  <c r="J11" i="4"/>
  <c r="E11" i="4"/>
  <c r="I11" i="4"/>
  <c r="D11" i="4"/>
  <c r="H11" i="4"/>
  <c r="C11" i="4"/>
  <c r="G11" i="4"/>
  <c r="F40" i="10"/>
  <c r="H40" i="10"/>
  <c r="E40" i="10"/>
  <c r="C40" i="10"/>
  <c r="J40" i="10"/>
  <c r="G40" i="10"/>
  <c r="D40" i="10"/>
  <c r="I40" i="10"/>
  <c r="G18" i="4"/>
  <c r="E18" i="4"/>
  <c r="C18" i="4"/>
  <c r="J18" i="4"/>
  <c r="I18" i="4"/>
  <c r="H18" i="4"/>
  <c r="D18" i="4"/>
  <c r="F18" i="4"/>
  <c r="F27" i="10"/>
  <c r="I27" i="10"/>
  <c r="H27" i="10"/>
  <c r="D27" i="10"/>
  <c r="J27" i="10"/>
  <c r="E27" i="10"/>
  <c r="G27" i="10"/>
  <c r="C27" i="10"/>
  <c r="F6" i="4"/>
  <c r="C6" i="4"/>
  <c r="D6" i="4"/>
  <c r="J6" i="4"/>
  <c r="E6" i="4"/>
  <c r="I6" i="4"/>
  <c r="H6" i="4"/>
  <c r="G6" i="4"/>
  <c r="E20" i="2"/>
  <c r="D20" i="2"/>
  <c r="H20" i="2"/>
  <c r="G20" i="2"/>
  <c r="J20" i="2"/>
  <c r="F20" i="2"/>
  <c r="I20" i="2"/>
  <c r="C20" i="2"/>
  <c r="C41" i="5"/>
  <c r="H41" i="5"/>
  <c r="F41" i="5"/>
  <c r="D41" i="5"/>
  <c r="I41" i="5"/>
  <c r="E41" i="5"/>
  <c r="J41" i="5"/>
  <c r="G41" i="5"/>
  <c r="F5" i="5"/>
  <c r="I5" i="5"/>
  <c r="E5" i="5"/>
  <c r="D5" i="5"/>
  <c r="C5" i="5"/>
  <c r="G5" i="5"/>
  <c r="J5" i="5"/>
  <c r="H5" i="5"/>
  <c r="I38" i="2"/>
  <c r="F38" i="2"/>
  <c r="H38" i="2"/>
  <c r="C38" i="2"/>
  <c r="E38" i="2"/>
  <c r="G38" i="2"/>
  <c r="J38" i="2"/>
  <c r="D38" i="2"/>
  <c r="E32" i="2"/>
  <c r="D32" i="2"/>
  <c r="J32" i="2"/>
  <c r="F32" i="2"/>
  <c r="I32" i="2"/>
  <c r="C32" i="2"/>
  <c r="G32" i="2"/>
  <c r="H32" i="2"/>
  <c r="H23" i="10"/>
  <c r="C23" i="10"/>
  <c r="G23" i="10"/>
  <c r="D23" i="10"/>
  <c r="I23" i="10"/>
  <c r="J23" i="10"/>
  <c r="F23" i="10"/>
  <c r="E23" i="10"/>
  <c r="J4" i="5"/>
  <c r="D4" i="5"/>
  <c r="C4" i="5"/>
  <c r="H4" i="5"/>
  <c r="I4" i="5"/>
  <c r="F4" i="5"/>
  <c r="G4" i="5"/>
  <c r="E4" i="5"/>
  <c r="F35" i="10"/>
  <c r="I35" i="10"/>
  <c r="D35" i="10"/>
  <c r="H35" i="10"/>
  <c r="C35" i="10"/>
  <c r="J35" i="10"/>
  <c r="E35" i="10"/>
  <c r="G35" i="10"/>
  <c r="D8" i="10"/>
  <c r="C8" i="10"/>
  <c r="E8" i="10"/>
  <c r="I8" i="10"/>
  <c r="G8" i="10"/>
  <c r="H8" i="10"/>
  <c r="J8" i="10"/>
  <c r="F8" i="10"/>
  <c r="I6" i="2"/>
  <c r="E6" i="2"/>
  <c r="F6" i="2"/>
  <c r="J6" i="2"/>
  <c r="H6" i="2"/>
  <c r="D6" i="2"/>
  <c r="G6" i="2"/>
  <c r="C6" i="2"/>
  <c r="D37" i="2"/>
  <c r="E37" i="2"/>
  <c r="I37" i="2"/>
  <c r="C37" i="2"/>
  <c r="F37" i="2"/>
  <c r="G37" i="2"/>
  <c r="J37" i="2"/>
  <c r="H37" i="2"/>
  <c r="I10" i="5"/>
  <c r="D10" i="5"/>
  <c r="C10" i="5"/>
  <c r="H10" i="5"/>
  <c r="E10" i="5"/>
  <c r="G10" i="5"/>
  <c r="F10" i="5"/>
  <c r="J10" i="5"/>
  <c r="E31" i="10"/>
  <c r="H31" i="10"/>
  <c r="D31" i="10"/>
  <c r="C31" i="10"/>
  <c r="F31" i="10"/>
  <c r="G31" i="10"/>
  <c r="J31" i="10"/>
  <c r="I31" i="10"/>
  <c r="G30" i="10"/>
  <c r="E30" i="10"/>
  <c r="D30" i="10"/>
  <c r="J30" i="10"/>
  <c r="F30" i="10"/>
  <c r="H30" i="10"/>
  <c r="I30" i="10"/>
  <c r="C30" i="10"/>
  <c r="G39" i="10"/>
  <c r="C39" i="10"/>
  <c r="I39" i="10"/>
  <c r="E39" i="10"/>
  <c r="F39" i="10"/>
  <c r="J39" i="10"/>
  <c r="H39" i="10"/>
  <c r="D39" i="10"/>
  <c r="F7" i="4"/>
  <c r="I7" i="4"/>
  <c r="J7" i="4"/>
  <c r="D7" i="4"/>
  <c r="G7" i="4"/>
  <c r="E7" i="4"/>
  <c r="H7" i="4"/>
  <c r="C7" i="4"/>
  <c r="H17" i="2"/>
  <c r="E17" i="2"/>
  <c r="C17" i="2"/>
  <c r="F17" i="2"/>
  <c r="I17" i="2"/>
  <c r="D17" i="2"/>
  <c r="J17" i="2"/>
  <c r="G17" i="2"/>
  <c r="E28" i="2"/>
  <c r="C28" i="2"/>
  <c r="G28" i="2"/>
  <c r="H28" i="2"/>
  <c r="J28" i="2"/>
  <c r="F28" i="2"/>
  <c r="I28" i="2"/>
  <c r="D28" i="2"/>
  <c r="F13" i="5"/>
  <c r="E13" i="5"/>
  <c r="I13" i="5"/>
  <c r="H13" i="5"/>
  <c r="C13" i="5"/>
  <c r="G13" i="5"/>
  <c r="J13" i="5"/>
  <c r="D13" i="5"/>
  <c r="D29" i="2"/>
  <c r="E29" i="2"/>
  <c r="I29" i="2"/>
  <c r="C29" i="2"/>
  <c r="F29" i="2"/>
  <c r="G29" i="2"/>
  <c r="J29" i="2"/>
  <c r="H29" i="2"/>
  <c r="F21" i="5"/>
  <c r="H21" i="5"/>
  <c r="J21" i="5"/>
  <c r="G21" i="5"/>
  <c r="C21" i="5"/>
  <c r="I21" i="5"/>
  <c r="D21" i="5"/>
  <c r="E21" i="5"/>
  <c r="F34" i="10"/>
  <c r="E34" i="10"/>
  <c r="D34" i="10"/>
  <c r="G34" i="10"/>
  <c r="I34" i="10"/>
  <c r="H34" i="10"/>
  <c r="C34" i="10"/>
  <c r="J34" i="10"/>
  <c r="H45" i="4"/>
  <c r="I45" i="4"/>
  <c r="D45" i="4"/>
  <c r="F45" i="4"/>
  <c r="C45" i="4"/>
  <c r="E45" i="4"/>
  <c r="J45" i="4"/>
  <c r="G45" i="4"/>
  <c r="G7" i="10"/>
  <c r="C7" i="10"/>
  <c r="H7" i="10"/>
  <c r="E7" i="10"/>
  <c r="I7" i="10"/>
  <c r="J7" i="10"/>
  <c r="F7" i="10"/>
  <c r="D7" i="10"/>
  <c r="F29" i="5"/>
  <c r="E29" i="5"/>
  <c r="I29" i="5"/>
  <c r="H29" i="5"/>
  <c r="J29" i="5"/>
  <c r="D29" i="5"/>
  <c r="C29" i="5"/>
  <c r="G29" i="5"/>
  <c r="C30" i="4"/>
  <c r="I30" i="4"/>
  <c r="J30" i="4"/>
  <c r="D30" i="4"/>
  <c r="F30" i="4"/>
  <c r="H30" i="4"/>
  <c r="E30" i="4"/>
  <c r="G30" i="4"/>
  <c r="J22" i="4"/>
  <c r="G22" i="4"/>
  <c r="F22" i="4"/>
  <c r="H22" i="4"/>
  <c r="D22" i="4"/>
  <c r="C22" i="4"/>
  <c r="E22" i="4"/>
  <c r="I22" i="4"/>
  <c r="C44" i="10"/>
  <c r="J44" i="10"/>
  <c r="I44" i="10"/>
  <c r="E44" i="10"/>
  <c r="F44" i="10"/>
  <c r="H44" i="10"/>
  <c r="D44" i="10"/>
  <c r="G44" i="10"/>
  <c r="C34" i="5"/>
  <c r="J34" i="5"/>
  <c r="E34" i="5"/>
  <c r="H34" i="5"/>
  <c r="F34" i="5"/>
  <c r="D34" i="5"/>
  <c r="I34" i="5"/>
  <c r="G34" i="5"/>
  <c r="C6" i="5"/>
  <c r="J6" i="5"/>
  <c r="I6" i="5"/>
  <c r="H6" i="5"/>
  <c r="D6" i="5"/>
  <c r="G6" i="5"/>
  <c r="E6" i="5"/>
  <c r="F6" i="5"/>
  <c r="I18" i="10"/>
  <c r="J18" i="10"/>
  <c r="C18" i="10"/>
  <c r="H18" i="10"/>
  <c r="F18" i="10"/>
  <c r="G18" i="10"/>
  <c r="D18" i="10"/>
  <c r="E18" i="10"/>
  <c r="I23" i="4"/>
  <c r="E23" i="4"/>
  <c r="F23" i="4"/>
  <c r="J23" i="4"/>
  <c r="G23" i="4"/>
  <c r="C23" i="4"/>
  <c r="H23" i="4"/>
  <c r="D23" i="4"/>
  <c r="C28" i="5"/>
  <c r="H28" i="5"/>
  <c r="J28" i="5"/>
  <c r="F28" i="5"/>
  <c r="D28" i="5"/>
  <c r="E28" i="5"/>
  <c r="G28" i="5"/>
  <c r="I28" i="5"/>
  <c r="H39" i="5"/>
  <c r="C39" i="5"/>
  <c r="J39" i="5"/>
  <c r="I39" i="5"/>
  <c r="E39" i="5"/>
  <c r="D39" i="5"/>
  <c r="F39" i="5"/>
  <c r="G39" i="5"/>
  <c r="D45" i="2"/>
  <c r="E45" i="2"/>
  <c r="J45" i="2"/>
  <c r="H45" i="2"/>
  <c r="I45" i="2"/>
  <c r="C45" i="2"/>
  <c r="F45" i="2"/>
  <c r="G45" i="2"/>
  <c r="J43" i="4"/>
  <c r="G43" i="4"/>
  <c r="I43" i="4"/>
  <c r="C43" i="4"/>
  <c r="H43" i="4"/>
  <c r="E43" i="4"/>
  <c r="F43" i="4"/>
  <c r="D43" i="4"/>
  <c r="J25" i="4"/>
  <c r="G25" i="4"/>
  <c r="F25" i="4"/>
  <c r="H25" i="4"/>
  <c r="C25" i="4"/>
  <c r="E25" i="4"/>
  <c r="D25" i="4"/>
  <c r="I25" i="4"/>
  <c r="G36" i="5"/>
  <c r="E36" i="5"/>
  <c r="J36" i="5"/>
  <c r="H36" i="5"/>
  <c r="C36" i="5"/>
  <c r="F36" i="5"/>
  <c r="D36" i="5"/>
  <c r="I36" i="5"/>
  <c r="E11" i="5"/>
  <c r="H11" i="5"/>
  <c r="J11" i="5"/>
  <c r="G11" i="5"/>
  <c r="F11" i="5"/>
  <c r="C11" i="5"/>
  <c r="D11" i="5"/>
  <c r="I11" i="5"/>
  <c r="D43" i="2"/>
  <c r="J43" i="2"/>
  <c r="G43" i="2"/>
  <c r="C43" i="2"/>
  <c r="I43" i="2"/>
  <c r="E43" i="2"/>
  <c r="H43" i="2"/>
  <c r="F43" i="2"/>
  <c r="D5" i="2"/>
  <c r="G5" i="2"/>
  <c r="C5" i="2"/>
  <c r="J5" i="2"/>
  <c r="I5" i="2"/>
  <c r="H5" i="2"/>
  <c r="F5" i="2"/>
  <c r="E5" i="2"/>
  <c r="D13" i="2"/>
  <c r="E13" i="2"/>
  <c r="J13" i="2"/>
  <c r="H13" i="2"/>
  <c r="I13" i="2"/>
  <c r="C13" i="2"/>
  <c r="F13" i="2"/>
  <c r="G13" i="2"/>
  <c r="D26" i="10"/>
  <c r="C26" i="10"/>
  <c r="F26" i="10"/>
  <c r="H26" i="10"/>
  <c r="I26" i="10"/>
  <c r="J26" i="10"/>
  <c r="G26" i="10"/>
  <c r="E26" i="10"/>
  <c r="T32" i="1" l="1"/>
  <c r="T31" i="1"/>
  <c r="T4" i="1"/>
  <c r="T34" i="1"/>
  <c r="B5" i="5"/>
  <c r="B12" i="2"/>
  <c r="B25" i="4"/>
  <c r="B17" i="2"/>
  <c r="B32" i="10"/>
  <c r="B14" i="5"/>
  <c r="B26" i="10"/>
  <c r="B32" i="2"/>
  <c r="B20" i="3"/>
  <c r="B27" i="5"/>
  <c r="B42" i="5"/>
  <c r="B41" i="5"/>
  <c r="B14" i="10"/>
  <c r="B22" i="5"/>
  <c r="B17" i="5"/>
  <c r="B28" i="2"/>
  <c r="B6" i="3"/>
  <c r="B24" i="3"/>
  <c r="B35" i="10"/>
  <c r="B19" i="5"/>
  <c r="B10" i="5"/>
  <c r="B13" i="2"/>
  <c r="B23" i="3"/>
  <c r="B6" i="2"/>
  <c r="B41" i="2"/>
  <c r="B5" i="4"/>
  <c r="B8" i="5"/>
  <c r="B29" i="10"/>
  <c r="B28" i="3"/>
  <c r="B9" i="5"/>
  <c r="B21" i="10"/>
  <c r="B43" i="10"/>
  <c r="B11" i="4"/>
  <c r="B28" i="10"/>
  <c r="B13" i="3"/>
  <c r="B10" i="3"/>
  <c r="B37" i="2"/>
  <c r="B9" i="4"/>
  <c r="B34" i="2"/>
  <c r="B35" i="2"/>
  <c r="B20" i="4"/>
  <c r="B28" i="4"/>
  <c r="B45" i="4"/>
  <c r="B25" i="2"/>
  <c r="B15" i="2"/>
  <c r="B39" i="5"/>
  <c r="B31" i="10"/>
  <c r="B16" i="5"/>
  <c r="B34" i="10"/>
  <c r="B26" i="3"/>
  <c r="B13" i="5"/>
  <c r="B8" i="4"/>
  <c r="B19" i="3"/>
  <c r="B12" i="5"/>
  <c r="B43" i="3"/>
  <c r="B22" i="4"/>
  <c r="B18" i="2"/>
  <c r="B11" i="3"/>
  <c r="B33" i="10"/>
  <c r="B31" i="4"/>
  <c r="B4" i="10"/>
  <c r="B20" i="10"/>
  <c r="B19" i="4"/>
  <c r="B5" i="2"/>
  <c r="B30" i="2"/>
  <c r="B37" i="4"/>
  <c r="B24" i="2"/>
  <c r="B44" i="2"/>
  <c r="B20" i="2"/>
  <c r="B42" i="3"/>
  <c r="B44" i="10"/>
  <c r="B7" i="10"/>
  <c r="B45" i="3"/>
  <c r="B43" i="4"/>
  <c r="B22" i="10"/>
  <c r="B7" i="4"/>
  <c r="B21" i="2"/>
  <c r="B27" i="2"/>
  <c r="B35" i="4"/>
  <c r="B45" i="5"/>
  <c r="B26" i="2"/>
  <c r="B29" i="2"/>
  <c r="B37" i="10"/>
  <c r="B36" i="5"/>
  <c r="B21" i="5"/>
  <c r="B26" i="4"/>
  <c r="B45" i="2"/>
  <c r="B20" i="5"/>
  <c r="B43" i="2"/>
  <c r="B42" i="2"/>
  <c r="B45" i="10"/>
  <c r="B41" i="10"/>
  <c r="B43" i="5"/>
  <c r="B44" i="4"/>
  <c r="B33" i="4"/>
  <c r="B4" i="4"/>
  <c r="B11" i="2"/>
  <c r="B10" i="10"/>
  <c r="B15" i="4"/>
  <c r="B29" i="4"/>
  <c r="B38" i="4"/>
  <c r="B6" i="5"/>
  <c r="B13" i="10"/>
  <c r="B6" i="4"/>
  <c r="B23" i="2"/>
  <c r="B7" i="3"/>
  <c r="B36" i="3"/>
  <c r="B27" i="3"/>
  <c r="B27" i="10"/>
  <c r="B35" i="3"/>
  <c r="B16" i="10"/>
  <c r="B17" i="10"/>
  <c r="B19" i="2"/>
  <c r="B35" i="5"/>
  <c r="B23" i="10"/>
  <c r="B30" i="4"/>
  <c r="B38" i="2"/>
  <c r="B18" i="5"/>
  <c r="B11" i="5"/>
  <c r="B33" i="2"/>
  <c r="B33" i="5"/>
  <c r="B28" i="5"/>
  <c r="B15" i="5"/>
  <c r="B4" i="5"/>
  <c r="B40" i="2"/>
  <c r="B32" i="5"/>
  <c r="B18" i="10"/>
  <c r="B30" i="10"/>
  <c r="B42" i="10"/>
  <c r="B40" i="10"/>
  <c r="B8" i="3"/>
  <c r="B41" i="3"/>
  <c r="B24" i="4"/>
  <c r="B25" i="10"/>
  <c r="B14" i="4"/>
  <c r="B10" i="2"/>
  <c r="B7" i="2"/>
  <c r="B36" i="2"/>
  <c r="B8" i="10"/>
  <c r="B21" i="3"/>
  <c r="B23" i="4"/>
  <c r="B18" i="3"/>
  <c r="B25" i="5"/>
  <c r="B37" i="3"/>
  <c r="B12" i="4"/>
  <c r="B38" i="10"/>
  <c r="B24" i="10"/>
  <c r="B29" i="5"/>
  <c r="B36" i="4"/>
  <c r="B18" i="4"/>
  <c r="B40" i="3"/>
  <c r="B40" i="5"/>
  <c r="B39" i="10"/>
  <c r="B34" i="5"/>
  <c r="B5" i="3"/>
  <c r="S13" i="1" l="1"/>
  <c r="S14" i="1"/>
  <c r="S34" i="1"/>
  <c r="S27" i="1"/>
  <c r="S28" i="1"/>
  <c r="S40" i="1"/>
  <c r="S41" i="1"/>
  <c r="S26" i="1"/>
  <c r="S6" i="1"/>
  <c r="S5" i="1"/>
  <c r="S8" i="1"/>
  <c r="S7" i="1"/>
  <c r="S9" i="1"/>
  <c r="S10" i="1"/>
  <c r="S32" i="1"/>
  <c r="S35" i="1"/>
  <c r="S25" i="1"/>
  <c r="S24" i="1"/>
  <c r="S12" i="1"/>
  <c r="S11" i="1"/>
  <c r="S38" i="1"/>
  <c r="S37" i="1"/>
  <c r="S33" i="1"/>
  <c r="S30" i="1"/>
  <c r="S29" i="1"/>
  <c r="S23" i="1"/>
  <c r="S39" i="1"/>
  <c r="S42" i="1"/>
  <c r="AA42" i="1" s="1"/>
  <c r="S44" i="1"/>
  <c r="S45" i="1"/>
  <c r="AA45" i="1" s="1"/>
  <c r="S43" i="1"/>
  <c r="S4" i="1"/>
  <c r="S20" i="1"/>
  <c r="S22" i="1"/>
  <c r="S19" i="1"/>
  <c r="S21" i="1"/>
  <c r="S18" i="1"/>
  <c r="S16" i="1"/>
  <c r="S17" i="1"/>
  <c r="S15" i="1"/>
  <c r="S36" i="1"/>
  <c r="T33" i="1"/>
  <c r="AB33" i="1" s="1"/>
  <c r="T30" i="1"/>
  <c r="T29" i="1"/>
  <c r="T17" i="1"/>
  <c r="AB17" i="1" s="1"/>
  <c r="T16" i="1"/>
  <c r="AB16" i="1" s="1"/>
  <c r="T15" i="1"/>
  <c r="T18" i="1"/>
  <c r="T39" i="1"/>
  <c r="AE31" i="1"/>
  <c r="T35" i="1"/>
  <c r="T36" i="1"/>
  <c r="T45" i="1"/>
  <c r="T44" i="1"/>
  <c r="AD44" i="1" s="1"/>
  <c r="T42" i="1"/>
  <c r="T43" i="1"/>
  <c r="T41" i="1"/>
  <c r="AB41" i="1" s="1"/>
  <c r="T40" i="1"/>
  <c r="AB40" i="1" s="1"/>
  <c r="T19" i="1"/>
  <c r="AB19" i="1" s="1"/>
  <c r="T20" i="1"/>
  <c r="T22" i="1"/>
  <c r="T21" i="1"/>
  <c r="AB21" i="1" s="1"/>
  <c r="AA32" i="1"/>
  <c r="U22" i="1"/>
  <c r="AC22" i="1" s="1"/>
  <c r="U15" i="1"/>
  <c r="AC15" i="1" s="1"/>
  <c r="U10" i="1"/>
  <c r="AC10" i="1" s="1"/>
  <c r="U8" i="1"/>
  <c r="AC8" i="1" s="1"/>
  <c r="U19" i="1"/>
  <c r="AC19" i="1" s="1"/>
  <c r="U13" i="1"/>
  <c r="AC13" i="1" s="1"/>
  <c r="U6" i="1"/>
  <c r="U17" i="1"/>
  <c r="AC17" i="1" s="1"/>
  <c r="U7" i="1"/>
  <c r="AC7" i="1" s="1"/>
  <c r="U21" i="1"/>
  <c r="AC21" i="1" s="1"/>
  <c r="U20" i="1"/>
  <c r="U14" i="1"/>
  <c r="AC14" i="1" s="1"/>
  <c r="U5" i="1"/>
  <c r="AC5" i="1" s="1"/>
  <c r="U9" i="1"/>
  <c r="AC9" i="1" s="1"/>
  <c r="U18" i="1"/>
  <c r="U16" i="1"/>
  <c r="AC16" i="1" s="1"/>
  <c r="X31" i="1"/>
  <c r="X38" i="1"/>
  <c r="X24" i="1"/>
  <c r="X23" i="1"/>
  <c r="X37" i="1"/>
  <c r="X26" i="1"/>
  <c r="X32" i="1"/>
  <c r="X25" i="1"/>
  <c r="W42" i="1"/>
  <c r="W12" i="1"/>
  <c r="W11" i="1"/>
  <c r="W40" i="1"/>
  <c r="W35" i="1"/>
  <c r="W34" i="1"/>
  <c r="W43" i="1"/>
  <c r="W36" i="1"/>
  <c r="W27" i="1"/>
  <c r="W45" i="1"/>
  <c r="W41" i="1"/>
  <c r="W28" i="1"/>
  <c r="W44" i="1"/>
  <c r="W39" i="1"/>
  <c r="T7" i="1"/>
  <c r="AB7" i="1" s="1"/>
  <c r="T9" i="1"/>
  <c r="AB9" i="1" s="1"/>
  <c r="T5" i="1"/>
  <c r="AB5" i="1" s="1"/>
  <c r="T10" i="1"/>
  <c r="T6" i="1"/>
  <c r="T8" i="1"/>
  <c r="AB8" i="1" s="1"/>
  <c r="X34" i="1"/>
  <c r="X36" i="1"/>
  <c r="X35" i="1"/>
  <c r="U27" i="1"/>
  <c r="AC27" i="1" s="1"/>
  <c r="U28" i="1"/>
  <c r="AC28" i="1" s="1"/>
  <c r="T28" i="1"/>
  <c r="AB28" i="1" s="1"/>
  <c r="T27" i="1"/>
  <c r="T25" i="1"/>
  <c r="T24" i="1"/>
  <c r="U40" i="1"/>
  <c r="AC40" i="1" s="1"/>
  <c r="U44" i="1"/>
  <c r="AC44" i="1" s="1"/>
  <c r="U42" i="1"/>
  <c r="AC42" i="1" s="1"/>
  <c r="U41" i="1"/>
  <c r="AC41" i="1" s="1"/>
  <c r="U45" i="1"/>
  <c r="U43" i="1"/>
  <c r="AC43" i="1" s="1"/>
  <c r="U39" i="1"/>
  <c r="AC39" i="1" s="1"/>
  <c r="T12" i="1"/>
  <c r="T11" i="1"/>
  <c r="AB11" i="1" s="1"/>
  <c r="U29" i="1"/>
  <c r="AC29" i="1" s="1"/>
  <c r="U30" i="1"/>
  <c r="AC30" i="1" s="1"/>
  <c r="U11" i="1"/>
  <c r="AC11" i="1" s="1"/>
  <c r="U12" i="1"/>
  <c r="AC12" i="1" s="1"/>
  <c r="W37" i="1"/>
  <c r="W38" i="1"/>
  <c r="AA9" i="1"/>
  <c r="AA6" i="1"/>
  <c r="W29" i="1"/>
  <c r="W30" i="1"/>
  <c r="W6" i="1"/>
  <c r="W8" i="1"/>
  <c r="W9" i="1"/>
  <c r="W7" i="1"/>
  <c r="W10" i="1"/>
  <c r="W5" i="1"/>
  <c r="W22" i="1"/>
  <c r="W19" i="1"/>
  <c r="W17" i="1"/>
  <c r="W20" i="1"/>
  <c r="W15" i="1"/>
  <c r="W16" i="1"/>
  <c r="W21" i="1"/>
  <c r="W18" i="1"/>
  <c r="U4" i="1"/>
  <c r="AC4" i="1" s="1"/>
  <c r="W13" i="1"/>
  <c r="W14" i="1"/>
  <c r="W32" i="1"/>
  <c r="W31" i="1"/>
  <c r="U33" i="1"/>
  <c r="AC33" i="1" s="1"/>
  <c r="X29" i="1"/>
  <c r="X30" i="1"/>
  <c r="X4" i="1"/>
  <c r="W4" i="1"/>
  <c r="T13" i="1"/>
  <c r="AE13" i="1" s="1"/>
  <c r="T14" i="1"/>
  <c r="AB14" i="1" s="1"/>
  <c r="W33" i="1"/>
  <c r="U25" i="1"/>
  <c r="U24" i="1"/>
  <c r="X17" i="1"/>
  <c r="X19" i="1"/>
  <c r="X15" i="1"/>
  <c r="X21" i="1"/>
  <c r="X22" i="1"/>
  <c r="X20" i="1"/>
  <c r="X18" i="1"/>
  <c r="X16" i="1"/>
  <c r="T23" i="1"/>
  <c r="AD23" i="1" s="1"/>
  <c r="X27" i="1"/>
  <c r="X28" i="1"/>
  <c r="X33" i="1"/>
  <c r="X11" i="1"/>
  <c r="X12" i="1"/>
  <c r="T26" i="1"/>
  <c r="AB26" i="1" s="1"/>
  <c r="T38" i="1"/>
  <c r="AB38" i="1" s="1"/>
  <c r="T37" i="1"/>
  <c r="AB37" i="1" s="1"/>
  <c r="X14" i="1"/>
  <c r="X13" i="1"/>
  <c r="U36" i="1"/>
  <c r="AC36" i="1" s="1"/>
  <c r="U35" i="1"/>
  <c r="AC35" i="1" s="1"/>
  <c r="U34" i="1"/>
  <c r="AC34" i="1" s="1"/>
  <c r="W26" i="1"/>
  <c r="U32" i="1"/>
  <c r="AC32" i="1" s="1"/>
  <c r="U31" i="1"/>
  <c r="U26" i="1"/>
  <c r="AC26" i="1" s="1"/>
  <c r="X43" i="1"/>
  <c r="X41" i="1"/>
  <c r="X44" i="1"/>
  <c r="X42" i="1"/>
  <c r="X40" i="1"/>
  <c r="X39" i="1"/>
  <c r="X45" i="1"/>
  <c r="W23" i="1"/>
  <c r="X9" i="1"/>
  <c r="X8" i="1"/>
  <c r="X5" i="1"/>
  <c r="X10" i="1"/>
  <c r="X7" i="1"/>
  <c r="X6" i="1"/>
  <c r="AA21" i="1"/>
  <c r="AE19" i="1"/>
  <c r="AA17" i="1"/>
  <c r="U38" i="1"/>
  <c r="AC38" i="1" s="1"/>
  <c r="U37" i="1"/>
  <c r="AC37" i="1" s="1"/>
  <c r="AE29" i="1"/>
  <c r="AD30" i="1"/>
  <c r="U23" i="1"/>
  <c r="AC23" i="1" s="1"/>
  <c r="AA26" i="1"/>
  <c r="AA27" i="1"/>
  <c r="AE28" i="1"/>
  <c r="AE36" i="1"/>
  <c r="W25" i="1"/>
  <c r="W24" i="1"/>
  <c r="AB36" i="1"/>
  <c r="AB42" i="1"/>
  <c r="AB20" i="1"/>
  <c r="AB13" i="1"/>
  <c r="AC31" i="1"/>
  <c r="AC25" i="1"/>
  <c r="AB35" i="1"/>
  <c r="AB30" i="1"/>
  <c r="AB6" i="1"/>
  <c r="AB18" i="1"/>
  <c r="AC45" i="1"/>
  <c r="AB15" i="1"/>
  <c r="AB29" i="1"/>
  <c r="AB10" i="1"/>
  <c r="AB27" i="1"/>
  <c r="AC24" i="1"/>
  <c r="AB4" i="1"/>
  <c r="AB22" i="1"/>
  <c r="AC18" i="1"/>
  <c r="AB31" i="1"/>
  <c r="AB43" i="1"/>
  <c r="AB39" i="1"/>
  <c r="AC6" i="1"/>
  <c r="AB34" i="1"/>
  <c r="AC20" i="1"/>
  <c r="AB12" i="1"/>
  <c r="AB32" i="1"/>
  <c r="AD17" i="1"/>
  <c r="AA24" i="1"/>
  <c r="AA44" i="1"/>
  <c r="AA12" i="1"/>
  <c r="AE18" i="1"/>
  <c r="AD18" i="1"/>
  <c r="AA18" i="1"/>
  <c r="AE6" i="1"/>
  <c r="AD13" i="1"/>
  <c r="AA13" i="1"/>
  <c r="AE39" i="1"/>
  <c r="AD39" i="1"/>
  <c r="AA39" i="1"/>
  <c r="AE34" i="1"/>
  <c r="AD34" i="1"/>
  <c r="AA34" i="1"/>
  <c r="AE33" i="1"/>
  <c r="AD33" i="1"/>
  <c r="AA33" i="1"/>
  <c r="AD22" i="1"/>
  <c r="AA22" i="1"/>
  <c r="AE7" i="1"/>
  <c r="AD7" i="1"/>
  <c r="AA7" i="1"/>
  <c r="AE10" i="1"/>
  <c r="AA10" i="1"/>
  <c r="AD21" i="1"/>
  <c r="AD37" i="1"/>
  <c r="AA37" i="1"/>
  <c r="AA31" i="1"/>
  <c r="AA40" i="1"/>
  <c r="AE11" i="1"/>
  <c r="AA11" i="1"/>
  <c r="AA25" i="1"/>
  <c r="AE35" i="1"/>
  <c r="AD35" i="1"/>
  <c r="AA35" i="1"/>
  <c r="AE15" i="1"/>
  <c r="AA15" i="1"/>
  <c r="AE4" i="1"/>
  <c r="AD4" i="1"/>
  <c r="AA4" i="1"/>
  <c r="AA41" i="1"/>
  <c r="AE43" i="1"/>
  <c r="AD43" i="1"/>
  <c r="AA43" i="1"/>
  <c r="Z39" i="1"/>
  <c r="Z32" i="1"/>
  <c r="Z40" i="1"/>
  <c r="Z6" i="1"/>
  <c r="Y4" i="1"/>
  <c r="Y35" i="1"/>
  <c r="Y22" i="1"/>
  <c r="Y9" i="1"/>
  <c r="Y27" i="1"/>
  <c r="Y29" i="1"/>
  <c r="Y26" i="1"/>
  <c r="Y16" i="1"/>
  <c r="Y5" i="1"/>
  <c r="Z12" i="1"/>
  <c r="Z23" i="1"/>
  <c r="Y20" i="1"/>
  <c r="Z10" i="1"/>
  <c r="Y45" i="1"/>
  <c r="Y13" i="1"/>
  <c r="Y31" i="1"/>
  <c r="Z17" i="1"/>
  <c r="Z45" i="1"/>
  <c r="Z27" i="1"/>
  <c r="Z18" i="1"/>
  <c r="Y38" i="1"/>
  <c r="Y25" i="1"/>
  <c r="Y37" i="1"/>
  <c r="Z26" i="1"/>
  <c r="Z11" i="1"/>
  <c r="Z21" i="1"/>
  <c r="Y12" i="1"/>
  <c r="Z31" i="1"/>
  <c r="Z14" i="1"/>
  <c r="Z25" i="1"/>
  <c r="Y30" i="1"/>
  <c r="Y10" i="1"/>
  <c r="Z30" i="1"/>
  <c r="Z34" i="1"/>
  <c r="Z42" i="1"/>
  <c r="Z41" i="1"/>
  <c r="Y7" i="1"/>
  <c r="Y44" i="1"/>
  <c r="Y14" i="1"/>
  <c r="Y18" i="1"/>
  <c r="Y23" i="1"/>
  <c r="Z8" i="1"/>
  <c r="Y42" i="1"/>
  <c r="Z33" i="1"/>
  <c r="Z15" i="1"/>
  <c r="Z36" i="1"/>
  <c r="Z24" i="1"/>
  <c r="Y11" i="1"/>
  <c r="Y32" i="1"/>
  <c r="Y19" i="1"/>
  <c r="Y21" i="1"/>
  <c r="Z4" i="1"/>
  <c r="Z43" i="1"/>
  <c r="Z44" i="1"/>
  <c r="Y6" i="1"/>
  <c r="Y43" i="1"/>
  <c r="Z37" i="1"/>
  <c r="Z22" i="1"/>
  <c r="Z35" i="1"/>
  <c r="Y8" i="1"/>
  <c r="Y39" i="1"/>
  <c r="Y34" i="1"/>
  <c r="Z16" i="1"/>
  <c r="Z5" i="1"/>
  <c r="Y41" i="1"/>
  <c r="Y24" i="1"/>
  <c r="Z20" i="1"/>
  <c r="Z29" i="1"/>
  <c r="Y40" i="1"/>
  <c r="Y33" i="1"/>
  <c r="Y36" i="1"/>
  <c r="Y17" i="1"/>
  <c r="Z7" i="1"/>
  <c r="Z9" i="1"/>
  <c r="Y15" i="1"/>
  <c r="Y28" i="1"/>
  <c r="Z19" i="1"/>
  <c r="Z13" i="1"/>
  <c r="Z28" i="1"/>
  <c r="Z38" i="1"/>
  <c r="AE8" i="1" l="1"/>
  <c r="AE12" i="1"/>
  <c r="AE22" i="1"/>
  <c r="AE37" i="1"/>
  <c r="AB23" i="1"/>
  <c r="AD10" i="1"/>
  <c r="AD38" i="1"/>
  <c r="AE23" i="1"/>
  <c r="AD11" i="1"/>
  <c r="AE40" i="1"/>
  <c r="AE44" i="1"/>
  <c r="AE24" i="1"/>
  <c r="AD28" i="1"/>
  <c r="AD40" i="1"/>
  <c r="AA38" i="1"/>
  <c r="AE21" i="1"/>
  <c r="AA30" i="1"/>
  <c r="AE38" i="1"/>
  <c r="AA28" i="1"/>
  <c r="AE30" i="1"/>
  <c r="AD6" i="1"/>
  <c r="AA23" i="1"/>
  <c r="AD24" i="1"/>
  <c r="AD12" i="1"/>
  <c r="AE17" i="1"/>
  <c r="AB24" i="1"/>
  <c r="AE20" i="1"/>
  <c r="AD5" i="1"/>
  <c r="AD15" i="1"/>
  <c r="AD31" i="1"/>
  <c r="AD16" i="1"/>
  <c r="AE14" i="1"/>
  <c r="AE25" i="1"/>
  <c r="AD32" i="1"/>
  <c r="AA8" i="1"/>
  <c r="AA29" i="1"/>
  <c r="AE27" i="1"/>
  <c r="AA20" i="1"/>
  <c r="AD9" i="1"/>
  <c r="AE42" i="1"/>
  <c r="AD14" i="1"/>
  <c r="AB25" i="1"/>
  <c r="AD41" i="1"/>
  <c r="AD25" i="1"/>
  <c r="AA19" i="1"/>
  <c r="AD26" i="1"/>
  <c r="AE9" i="1"/>
  <c r="AD45" i="1"/>
  <c r="AD29" i="1"/>
  <c r="AD20" i="1"/>
  <c r="AA36" i="1"/>
  <c r="AD27" i="1"/>
  <c r="AE5" i="1"/>
  <c r="AE26" i="1"/>
  <c r="AE32" i="1"/>
  <c r="AA14" i="1"/>
  <c r="AD42" i="1"/>
  <c r="AE45" i="1"/>
  <c r="AE41" i="1"/>
  <c r="AD8" i="1"/>
  <c r="AD19" i="1"/>
  <c r="AA5" i="1"/>
  <c r="AD36" i="1"/>
  <c r="AE16" i="1"/>
  <c r="AA16" i="1"/>
  <c r="AB44" i="1"/>
  <c r="AB45" i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nalyzed OD Cases May 2018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AnalyzedODCasesMay2018.xlsmTable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1].[IDed Compounds].&amp;[Cocaine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<sst xmlns="http://schemas.openxmlformats.org/spreadsheetml/2006/main" count="826" uniqueCount="293">
  <si>
    <t>Invoice #</t>
  </si>
  <si>
    <t>Item #</t>
  </si>
  <si>
    <t>Quantity</t>
  </si>
  <si>
    <t>Packaging</t>
  </si>
  <si>
    <t>Description</t>
  </si>
  <si>
    <t>Envelope Color</t>
  </si>
  <si>
    <t>Stamp Image</t>
  </si>
  <si>
    <t>Stamp Text</t>
  </si>
  <si>
    <t>IDed Compounds</t>
  </si>
  <si>
    <t>Indicated Compounds</t>
  </si>
  <si>
    <t>Non-NYS Controlled Substances</t>
  </si>
  <si>
    <t>Forensic Intelligence Substances</t>
  </si>
  <si>
    <t>Furanylfentanyl</t>
  </si>
  <si>
    <t>NCSI</t>
  </si>
  <si>
    <t>Phenacetin</t>
  </si>
  <si>
    <t>Tetramisole</t>
  </si>
  <si>
    <t>Noscapine</t>
  </si>
  <si>
    <t>2-Furanylfentanyl</t>
  </si>
  <si>
    <t>Xylazine</t>
  </si>
  <si>
    <t>Quinine</t>
  </si>
  <si>
    <t>Fentanyl</t>
  </si>
  <si>
    <t>Procaine</t>
  </si>
  <si>
    <t>Caffeine</t>
  </si>
  <si>
    <t>Acetyl Fentanyl</t>
  </si>
  <si>
    <t>Lidocaine</t>
  </si>
  <si>
    <t>Aminopyrine</t>
  </si>
  <si>
    <t>Noramidopyrine</t>
  </si>
  <si>
    <t>Dipyrone</t>
  </si>
  <si>
    <t>Squalene</t>
  </si>
  <si>
    <t>Ibuprofen</t>
  </si>
  <si>
    <t>Methoxyacetylfentanyl</t>
  </si>
  <si>
    <t>Fluorobutyrylfentanyl/Fluoroisobutyrylfentanyl</t>
  </si>
  <si>
    <t>Triacetin</t>
  </si>
  <si>
    <t>Acetaminophen</t>
  </si>
  <si>
    <t>Papaverine</t>
  </si>
  <si>
    <t>Despropionyl Fluorofentanyl</t>
  </si>
  <si>
    <t>Naloxone</t>
  </si>
  <si>
    <t>Gabapentin</t>
  </si>
  <si>
    <t>Diltiazem</t>
  </si>
  <si>
    <t>Benzocaine</t>
  </si>
  <si>
    <t>4-Fluoroisobutyrlfentanyl (FIBF)</t>
  </si>
  <si>
    <t>Nicotine</t>
  </si>
  <si>
    <t>Hydroxyzine</t>
  </si>
  <si>
    <t>Invoice + Item</t>
  </si>
  <si>
    <t>IDs</t>
  </si>
  <si>
    <t>INDs</t>
  </si>
  <si>
    <t>FIS</t>
  </si>
  <si>
    <t>Sub1</t>
  </si>
  <si>
    <t>Sub2</t>
  </si>
  <si>
    <t>Sub3</t>
  </si>
  <si>
    <t>Sub4</t>
  </si>
  <si>
    <t>Sub5</t>
  </si>
  <si>
    <t>Sub6</t>
  </si>
  <si>
    <t>Sub7</t>
  </si>
  <si>
    <t>Sub8</t>
  </si>
  <si>
    <t>NYS</t>
  </si>
  <si>
    <t>Row Labels</t>
  </si>
  <si>
    <t>Grand Total</t>
  </si>
  <si>
    <t>Complaint #</t>
  </si>
  <si>
    <t>Clonidine</t>
  </si>
  <si>
    <t>Cyclobenzaprine</t>
  </si>
  <si>
    <t>Fluoxetine</t>
  </si>
  <si>
    <t>Ondansetron</t>
  </si>
  <si>
    <t>Diluants</t>
  </si>
  <si>
    <t>Analogues</t>
  </si>
  <si>
    <t>Ds</t>
  </si>
  <si>
    <t xml:space="preserve">PASTE DATA </t>
  </si>
  <si>
    <t>HERE</t>
  </si>
  <si>
    <t>same number of rows as Table 1</t>
  </si>
  <si>
    <t>Drag below formulas down</t>
  </si>
  <si>
    <t>Sort Alphabetically by IDs and paste values</t>
  </si>
  <si>
    <t>Sort Alphabetically by INDs and paste values</t>
  </si>
  <si>
    <t>Sort Alphabetically by Fentanyl and Analogues and paste values</t>
  </si>
  <si>
    <t>Sort Alphabetically by FEDs</t>
  </si>
  <si>
    <t>Sort Alphabetically by FIS and paste values</t>
  </si>
  <si>
    <t>and paste values</t>
  </si>
  <si>
    <t xml:space="preserve"> and paste values</t>
  </si>
  <si>
    <t>Standard Packaging</t>
  </si>
  <si>
    <t>Other INDs</t>
  </si>
  <si>
    <t>Fentanyl and Analogs</t>
  </si>
  <si>
    <t>ID Combination Flag</t>
  </si>
  <si>
    <t>IND Combination Flag</t>
  </si>
  <si>
    <t>D Combination Flag</t>
  </si>
  <si>
    <t>Fentanyl Flag</t>
  </si>
  <si>
    <t>Cocaine Flag</t>
  </si>
  <si>
    <t>Residue Flag</t>
  </si>
  <si>
    <t>073</t>
  </si>
  <si>
    <t>PBBN</t>
  </si>
  <si>
    <t>075</t>
  </si>
  <si>
    <t>077</t>
  </si>
  <si>
    <t>079</t>
  </si>
  <si>
    <t>081</t>
  </si>
  <si>
    <t>083</t>
  </si>
  <si>
    <t>084</t>
  </si>
  <si>
    <t>088</t>
  </si>
  <si>
    <t>090</t>
  </si>
  <si>
    <t>094</t>
  </si>
  <si>
    <t>060</t>
  </si>
  <si>
    <t>PBBS</t>
  </si>
  <si>
    <t>061</t>
  </si>
  <si>
    <t>062</t>
  </si>
  <si>
    <t>063</t>
  </si>
  <si>
    <t>066</t>
  </si>
  <si>
    <t>067</t>
  </si>
  <si>
    <t>068</t>
  </si>
  <si>
    <t>069</t>
  </si>
  <si>
    <t>070</t>
  </si>
  <si>
    <t>071</t>
  </si>
  <si>
    <t>072</t>
  </si>
  <si>
    <t>076</t>
  </si>
  <si>
    <t>078</t>
  </si>
  <si>
    <t>040</t>
  </si>
  <si>
    <t>PBBX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</si>
  <si>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</si>
  <si>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</si>
  <si>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</si>
  <si>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</si>
  <si>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</si>
  <si>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</si>
  <si>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</si>
  <si>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</si>
  <si>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</si>
  <si>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</si>
  <si>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052</t>
  </si>
  <si>
    <t>019</t>
  </si>
  <si>
    <t>PBMN</t>
  </si>
  <si>
    <t>020</t>
  </si>
  <si>
    <t>022</t>
  </si>
  <si>
    <t>023</t>
  </si>
  <si>
    <t>024</t>
  </si>
  <si>
    <t>025</t>
  </si>
  <si>
    <t>026</t>
  </si>
  <si>
    <t>028</t>
  </si>
  <si>
    <t>030</t>
  </si>
  <si>
    <t>032</t>
  </si>
  <si>
    <t>033</t>
  </si>
  <si>
    <t>034</t>
  </si>
  <si>
    <t>001</t>
  </si>
  <si>
    <t>PBMS</t>
  </si>
  <si>
    <t>005</t>
  </si>
  <si>
    <t>006</t>
  </si>
  <si>
    <t>007</t>
  </si>
  <si>
    <t>009</t>
  </si>
  <si>
    <t>010</t>
  </si>
  <si>
    <t>013</t>
  </si>
  <si>
    <t>014</t>
  </si>
  <si>
    <t>017</t>
  </si>
  <si>
    <t>018</t>
  </si>
  <si>
    <t>104</t>
  </si>
  <si>
    <t>PBQN</t>
  </si>
  <si>
    <t>108</t>
  </si>
  <si>
    <t>109</t>
  </si>
  <si>
    <t>110</t>
  </si>
  <si>
    <t>111</t>
  </si>
  <si>
    <t>112</t>
  </si>
  <si>
    <t>114</t>
  </si>
  <si>
    <t>115</t>
  </si>
  <si>
    <t>100</t>
  </si>
  <si>
    <t>PBQS</t>
  </si>
  <si>
    <t>101</t>
  </si>
  <si>
    <t>102</t>
  </si>
  <si>
    <t>103</t>
  </si>
  <si>
    <t>105</t>
  </si>
  <si>
    <t>106</t>
  </si>
  <si>
    <t>107</t>
  </si>
  <si>
    <t>113</t>
  </si>
  <si>
    <t>120</t>
  </si>
  <si>
    <t>PBSI</t>
  </si>
  <si>
    <t>121</t>
  </si>
  <si>
    <t>122</t>
  </si>
  <si>
    <t>123</t>
  </si>
  <si>
    <t>glassine</t>
  </si>
  <si>
    <t>Glassine envelope</t>
  </si>
  <si>
    <t>Envelope</t>
  </si>
  <si>
    <t>Ziplock</t>
  </si>
  <si>
    <t>Ziplock bag</t>
  </si>
  <si>
    <t>Spoon</t>
  </si>
  <si>
    <t>needle</t>
  </si>
  <si>
    <t>Hypodermic needle</t>
  </si>
  <si>
    <t>straw</t>
  </si>
  <si>
    <t>Straw</t>
  </si>
  <si>
    <t>Pipe</t>
  </si>
  <si>
    <t>Bottle cap</t>
  </si>
  <si>
    <t>Prescription Bottle</t>
  </si>
  <si>
    <t>Bottle</t>
  </si>
  <si>
    <t>Bill</t>
  </si>
  <si>
    <t>Currency</t>
  </si>
  <si>
    <t>Paper Packet</t>
  </si>
  <si>
    <t>Paper packet</t>
  </si>
  <si>
    <t>Paper</t>
  </si>
  <si>
    <t>Twist</t>
  </si>
  <si>
    <t>Twist bag</t>
  </si>
  <si>
    <t>Plastic bag</t>
  </si>
  <si>
    <t>Container</t>
  </si>
  <si>
    <t>Ice cream scoop</t>
  </si>
  <si>
    <t>Cigarette</t>
  </si>
  <si>
    <t>Cigar</t>
  </si>
  <si>
    <t>Rod</t>
  </si>
  <si>
    <t>Card</t>
  </si>
  <si>
    <t>Playing card</t>
  </si>
  <si>
    <t>Razor Blade</t>
  </si>
  <si>
    <t>Razor blade</t>
  </si>
  <si>
    <t>Foil Packet</t>
  </si>
  <si>
    <t>Foil packet</t>
  </si>
  <si>
    <t>Bong</t>
  </si>
  <si>
    <t>Bowl</t>
  </si>
  <si>
    <t>Vial</t>
  </si>
  <si>
    <t>Tire pressure gauge</t>
  </si>
  <si>
    <t>Capsule</t>
  </si>
  <si>
    <t>Plate</t>
  </si>
  <si>
    <t>Pen Shaft</t>
  </si>
  <si>
    <t>Pen shaft</t>
  </si>
  <si>
    <t>Grinder</t>
  </si>
  <si>
    <t>Jar</t>
  </si>
  <si>
    <t>Loose</t>
  </si>
  <si>
    <t>hypodermic</t>
  </si>
  <si>
    <t>Metal cap</t>
  </si>
  <si>
    <t>Brick</t>
  </si>
  <si>
    <t>Metal Can</t>
  </si>
  <si>
    <t>Can</t>
  </si>
  <si>
    <t>Master Mix</t>
  </si>
  <si>
    <t>Master Mix No Ds</t>
  </si>
  <si>
    <t>1</t>
  </si>
  <si>
    <t>Glass pipe(s)</t>
  </si>
  <si>
    <t>solid material residue</t>
  </si>
  <si>
    <t>None</t>
  </si>
  <si>
    <t>Methamphetamine</t>
  </si>
  <si>
    <t>4A</t>
  </si>
  <si>
    <t>Partial glassine envelope(s)</t>
  </si>
  <si>
    <t>Heroin</t>
  </si>
  <si>
    <t>4B</t>
  </si>
  <si>
    <t>Glassine envelope(s)</t>
  </si>
  <si>
    <t>solid material</t>
  </si>
  <si>
    <t>Tramadol</t>
  </si>
  <si>
    <t>Methoxyacetyl fentanyl</t>
  </si>
  <si>
    <t>3A</t>
  </si>
  <si>
    <t>Cocaine</t>
  </si>
  <si>
    <t>Metal spoon(s)</t>
  </si>
  <si>
    <t>1A</t>
  </si>
  <si>
    <t>2A</t>
  </si>
  <si>
    <t>12</t>
  </si>
  <si>
    <t>Ziplock bag(s)</t>
  </si>
  <si>
    <t>Glass bottle(s)</t>
  </si>
  <si>
    <t>liquid</t>
  </si>
  <si>
    <t>Straw(s)</t>
  </si>
  <si>
    <t>2</t>
  </si>
  <si>
    <t>Container(s)</t>
  </si>
  <si>
    <t>Cigarette(s)</t>
  </si>
  <si>
    <t>vegetative matter</t>
  </si>
  <si>
    <t>Marihuana</t>
  </si>
  <si>
    <t>solid material residue and liquid residue</t>
  </si>
  <si>
    <t>14</t>
  </si>
  <si>
    <t>Ketamine</t>
  </si>
  <si>
    <t>5A</t>
  </si>
  <si>
    <t>Vial with Plastic Device</t>
  </si>
  <si>
    <t>7</t>
  </si>
  <si>
    <t>2B</t>
  </si>
  <si>
    <t>Heroin,Cocaine</t>
  </si>
  <si>
    <t>Distinct Count of Complaint #</t>
  </si>
  <si>
    <t>0277</t>
  </si>
  <si>
    <t>8197</t>
  </si>
  <si>
    <t>8199</t>
  </si>
  <si>
    <t>9562</t>
  </si>
  <si>
    <t>8191</t>
  </si>
  <si>
    <t>9496</t>
  </si>
  <si>
    <t>0396</t>
  </si>
  <si>
    <t>7744</t>
  </si>
  <si>
    <t>9589</t>
  </si>
  <si>
    <t>8089</t>
  </si>
  <si>
    <t>8718</t>
  </si>
  <si>
    <t>8896</t>
  </si>
  <si>
    <t>9893</t>
  </si>
  <si>
    <t>0303</t>
  </si>
  <si>
    <t>2001-000-00001</t>
  </si>
  <si>
    <t>2001-000-00002</t>
  </si>
  <si>
    <t>2001-000-00003</t>
  </si>
  <si>
    <t>2001-000-00004</t>
  </si>
  <si>
    <t>2001-000-00005</t>
  </si>
  <si>
    <t>2001-000-00006</t>
  </si>
  <si>
    <t>2001-000-00007</t>
  </si>
  <si>
    <t>2001-000-00008</t>
  </si>
  <si>
    <t>2001-000-00009</t>
  </si>
  <si>
    <t>2001-000-00012</t>
  </si>
  <si>
    <t>2001-000-00011</t>
  </si>
  <si>
    <t>2001-000-00010</t>
  </si>
  <si>
    <t>ID Mixture</t>
  </si>
  <si>
    <t>IND Mixture</t>
  </si>
  <si>
    <t>D Mixture</t>
  </si>
  <si>
    <t>FENT Mixture</t>
  </si>
  <si>
    <t>FED Mixture</t>
  </si>
  <si>
    <t>FIS Mixture</t>
  </si>
  <si>
    <t xml:space="preserve">Duplicates Are </t>
  </si>
  <si>
    <t>Highlighted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</si>
</sst>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12" x14ac:knownFonts="1">
    <font>
      <sz val="10"/>
      <color indexed="8"/>
      <name val="ARIAL"/>
      <charset val="1"/>
    </font>
    <font>
      <b/>
      <u/>
      <sz val="10"/>
      <color indexed="8"/>
      <name val="Arial"/>
      <charset val="1"/>
    </font>
    <font>
      <sz val="10"/>
      <color indexed="8"/>
      <name val="ARIAL"/>
      <charset val="1"/>
    </font>
    <font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u/>
      <sz val="10"/>
      <color indexed="8"/>
      <name val="Arial"/>
    </font>
    <font>
      <sz val="10"/>
      <color theme="1"/>
      <name val="ARIAL"/>
      <charset val="1"/>
    </font>
    <font>
      <sz val="10"/>
      <color theme="1"/>
      <name val="ARIAL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rgb="FF2F75B5"/>
      <name val="Calibri"/>
      <family val="2"/>
    </font>
    <font>
      <sz val="11"/>
      <color rgb="FF9C000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top"/>
    </xf>
    <xf numFmtId="0" fontId="3" fillId="0" borderId="0">
      <alignment vertical="top"/>
    </xf>
    <xf numFmtId="0" fontId="11" fillId="11" borderId="0" applyNumberFormat="0" applyBorder="0" applyAlignment="0" applyProtection="0"/>
  </cellStyleXfs>
  <cellXfs count="63">
    <xf numFmtId="0" fontId="0" fillId="0" borderId="0" xfId="0">
      <alignment vertical="top"/>
    </xf>
    <xf numFmtId="0" fontId="1" fillId="0" borderId="0" xfId="0" applyFont="1" applyAlignment="1">
      <alignment horizontal="left" vertical="top" wrapText="1" readingOrder="1"/>
    </xf>
    <xf numFmtId="0" fontId="1" fillId="0" borderId="0" xfId="0" applyFont="1" applyAlignment="1">
      <alignment vertical="top" wrapText="1" readingOrder="1"/>
    </xf>
    <xf numFmtId="0" fontId="2" fillId="0" borderId="0" xfId="0" applyFont="1" applyAlignment="1">
      <alignment vertical="top"/>
    </xf>
    <xf numFmtId="0" fontId="3" fillId="0" borderId="0" xfId="0" applyFont="1">
      <alignment vertical="top"/>
    </xf>
    <xf numFmtId="0" fontId="4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4" fillId="0" borderId="0" xfId="0" applyFont="1" applyAlignment="1">
      <alignment horizontal="left" vertical="top" wrapText="1" readingOrder="1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2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 readingOrder="1"/>
    </xf>
    <xf numFmtId="0" fontId="6" fillId="2" borderId="1" xfId="0" applyFont="1" applyFill="1" applyBorder="1" applyAlignment="1">
      <alignment vertical="top"/>
    </xf>
    <xf numFmtId="0" fontId="9" fillId="0" borderId="2" xfId="0" applyFont="1" applyBorder="1" applyAlignment="1">
      <alignment horizontal="left" vertical="top"/>
    </xf>
    <xf numFmtId="0" fontId="9" fillId="0" borderId="2" xfId="0" applyFont="1" applyBorder="1" applyAlignment="1">
      <alignment vertical="top"/>
    </xf>
    <xf numFmtId="0" fontId="9" fillId="2" borderId="2" xfId="0" applyFont="1" applyFill="1" applyBorder="1" applyAlignment="1">
      <alignment horizontal="left" vertical="top"/>
    </xf>
    <xf numFmtId="0" fontId="9" fillId="2" borderId="2" xfId="0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0" fontId="8" fillId="3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3" borderId="2" xfId="0" applyFont="1" applyFill="1" applyBorder="1" applyAlignment="1">
      <alignment horizontal="left" vertical="top"/>
    </xf>
    <xf numFmtId="0" fontId="9" fillId="0" borderId="3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1" fontId="1" fillId="0" borderId="0" xfId="0" applyNumberFormat="1" applyFont="1" applyAlignment="1">
      <alignment vertical="top" wrapText="1" readingOrder="1"/>
    </xf>
    <xf numFmtId="1" fontId="4" fillId="0" borderId="0" xfId="0" applyNumberFormat="1" applyFont="1" applyAlignment="1">
      <alignment vertical="top" wrapText="1" readingOrder="1"/>
    </xf>
    <xf numFmtId="1" fontId="3" fillId="0" borderId="0" xfId="0" applyNumberFormat="1" applyFont="1">
      <alignment vertical="top"/>
    </xf>
    <xf numFmtId="1" fontId="6" fillId="2" borderId="1" xfId="0" applyNumberFormat="1" applyFont="1" applyFill="1" applyBorder="1" applyAlignment="1">
      <alignment vertical="top"/>
    </xf>
    <xf numFmtId="1" fontId="0" fillId="0" borderId="0" xfId="0" applyNumberFormat="1">
      <alignment vertical="top"/>
    </xf>
    <xf numFmtId="0" fontId="0" fillId="4" borderId="0" xfId="0" applyFill="1" applyAlignment="1">
      <alignment vertical="top"/>
    </xf>
    <xf numFmtId="0" fontId="0" fillId="4" borderId="0" xfId="0" applyFill="1">
      <alignment vertical="top"/>
    </xf>
    <xf numFmtId="0" fontId="3" fillId="5" borderId="0" xfId="0" applyFont="1" applyFill="1">
      <alignment vertical="top"/>
    </xf>
    <xf numFmtId="0" fontId="3" fillId="6" borderId="0" xfId="0" applyFont="1" applyFill="1">
      <alignment vertical="top"/>
    </xf>
    <xf numFmtId="0" fontId="0" fillId="6" borderId="0" xfId="0" applyFill="1">
      <alignment vertical="top"/>
    </xf>
    <xf numFmtId="0" fontId="3" fillId="7" borderId="0" xfId="0" applyFont="1" applyFill="1">
      <alignment vertical="top"/>
    </xf>
    <xf numFmtId="0" fontId="3" fillId="8" borderId="0" xfId="0" applyFont="1" applyFill="1">
      <alignment vertical="top"/>
    </xf>
    <xf numFmtId="0" fontId="3" fillId="9" borderId="0" xfId="0" applyFont="1" applyFill="1">
      <alignment vertical="top"/>
    </xf>
    <xf numFmtId="0" fontId="0" fillId="5" borderId="0" xfId="0" applyFill="1">
      <alignment vertical="top"/>
    </xf>
    <xf numFmtId="0" fontId="0" fillId="9" borderId="0" xfId="0" applyFill="1">
      <alignment vertical="top"/>
    </xf>
    <xf numFmtId="49" fontId="3" fillId="0" borderId="0" xfId="0" applyNumberFormat="1" applyFont="1">
      <alignment vertical="top"/>
    </xf>
    <xf numFmtId="49" fontId="0" fillId="0" borderId="0" xfId="0" applyNumberForma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10" borderId="0" xfId="0" applyFont="1" applyFill="1" applyAlignment="1">
      <alignment vertical="center" wrapText="1"/>
    </xf>
    <xf numFmtId="0" fontId="10" fillId="10" borderId="6" xfId="0" applyFont="1" applyFill="1" applyBorder="1" applyAlignment="1">
      <alignment vertical="center" wrapText="1"/>
    </xf>
    <xf numFmtId="0" fontId="10" fillId="10" borderId="0" xfId="0" applyFont="1" applyFill="1" applyBorder="1" applyAlignment="1">
      <alignment vertical="center" wrapText="1"/>
    </xf>
    <xf numFmtId="0" fontId="3" fillId="0" borderId="5" xfId="0" applyFont="1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3" fillId="0" borderId="5" xfId="0" applyFont="1" applyFill="1" applyBorder="1" applyAlignment="1">
      <alignment vertical="top"/>
    </xf>
    <xf numFmtId="0" fontId="0" fillId="0" borderId="5" xfId="0" applyBorder="1">
      <alignment vertical="top"/>
    </xf>
    <xf numFmtId="0" fontId="3" fillId="0" borderId="5" xfId="0" applyFont="1" applyBorder="1">
      <alignment vertical="top"/>
    </xf>
    <xf numFmtId="0" fontId="0" fillId="0" borderId="5" xfId="0" applyFill="1" applyBorder="1" applyAlignment="1">
      <alignment vertical="top" wrapText="1" readingOrder="1"/>
    </xf>
    <xf numFmtId="0" fontId="0" fillId="0" borderId="5" xfId="0" applyNumberFormat="1" applyFill="1" applyBorder="1">
      <alignment vertical="top"/>
    </xf>
    <xf numFmtId="0" fontId="0" fillId="0" borderId="5" xfId="0" applyFill="1" applyBorder="1">
      <alignment vertical="top"/>
    </xf>
    <xf numFmtId="0" fontId="2" fillId="0" borderId="5" xfId="0" applyFont="1" applyFill="1" applyBorder="1" applyAlignment="1">
      <alignment vertical="top"/>
    </xf>
    <xf numFmtId="0" fontId="2" fillId="0" borderId="5" xfId="0" applyNumberFormat="1" applyFont="1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left" vertical="top"/>
    </xf>
    <xf numFmtId="0" fontId="11" fillId="11" borderId="0" xfId="2" applyAlignment="1">
      <alignment vertical="top"/>
    </xf>
  </cellXfs>
  <cellStyles count="3">
    <cellStyle name="Bad" xfId="2" builtinId="27"/>
    <cellStyle name="Normal" xfId="0" builtinId="0"/>
    <cellStyle name="Normal 2" xfId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indexed="8"/>
        <name val="Arial"/>
        <scheme val="none"/>
      </font>
      <alignment horizontal="left" vertical="top" textRotation="0" wrapText="1" indent="0" justifyLastLine="0" shrinkToFit="0" readingOrder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OTH, MADELINE" refreshedDate="43304.374462268519" backgroundQuery="1" createdVersion="6" refreshedVersion="6" minRefreshableVersion="3" recordCount="0" supportSubquery="1" supportAdvancedDrill="1">
  <cacheSource type="external" connectionId="1"/>
  <cacheFields count="3">
    <cacheField name="[Table1].[IDed Compounds].[IDed Compounds]" caption="IDed Compounds" numFmtId="0" hierarchy="18" level="1">
      <sharedItems containsSemiMixedTypes="0" containsNonDate="0" containsString="0"/>
    </cacheField>
    <cacheField name="[Table1].[Concat IDs].[Concat IDs]" caption="Concat IDs" numFmtId="0" hierarchy="26" level="1">
      <sharedItems count="2">
        <s v="Cocaine"/>
        <s v="Heroin,Cocaine"/>
      </sharedItems>
    </cacheField>
    <cacheField name="[Measures].[Distinct Count of Complaint #]" caption="Distinct Count of Complaint #" numFmtId="0" hierarchy="49" level="32767"/>
  </cacheFields>
  <cacheHierarchies count="50">
    <cacheHierarchy uniqueName="[Table1].[Invoice + Item]" caption="Invoice + Item" attribute="1" defaultMemberUniqueName="[Table1].[Invoice + Item].[All]" allUniqueName="[Table1].[Invoice + Item].[All]" dimensionUniqueName="[Table1]" displayFolder="" count="0" memberValueDatatype="130" unbalanced="0"/>
    <cacheHierarchy uniqueName="[Table1].[Lab #]" caption="Lab #" attribute="1" defaultMemberUniqueName="[Table1].[Lab #].[All]" allUniqueName="[Table1].[Lab #].[All]" dimensionUniqueName="[Table1]" displayFolder="" count="0" memberValueDatatype="130" unbalanced="0"/>
    <cacheHierarchy uniqueName="[Table1].[Invoice #]" caption="Invoice #" attribute="1" defaultMemberUniqueName="[Table1].[Invoice #].[All]" allUniqueName="[Table1].[Invoice #].[All]" dimensionUniqueName="[Table1]" displayFolder="" count="0" memberValueDatatype="130" unbalanced="0"/>
    <cacheHierarchy uniqueName="[Table1].[Complaint #]" caption="Complaint #" attribute="1" defaultMemberUniqueName="[Table1].[Complaint #].[All]" allUniqueName="[Table1].[Complaint #].[All]" dimensionUniqueName="[Table1]" displayFolder="" count="0" memberValueDatatype="130" unbalanced="0"/>
    <cacheHierarchy uniqueName="[Table1].[Pct]" caption="Pct" attribute="1" defaultMemberUniqueName="[Table1].[Pct].[All]" allUniqueName="[Table1].[Pct].[All]" dimensionUniqueName="[Table1]" displayFolder="" count="0" memberValueDatatype="130" unbalanced="0"/>
    <cacheHierarchy uniqueName="[Table1].[Officer Cmd]" caption="Officer Cmd" attribute="1" defaultMemberUniqueName="[Table1].[Officer Cmd].[All]" allUniqueName="[Table1].[Officer Cmd].[All]" dimensionUniqueName="[Table1]" displayFolder="" count="0" memberValueDatatype="130" unbalanced="0"/>
    <cacheHierarchy uniqueName="[Table1].[Class]" caption="Class" attribute="1" defaultMemberUniqueName="[Table1].[Class].[All]" allUniqueName="[Table1].[Class].[All]" dimensionUniqueName="[Table1]" displayFolder="" count="0" memberValueDatatype="130" unbalanced="0"/>
    <cacheHierarchy uniqueName="[Table1].[Incident Date]" caption="Incident Date" attribute="1" time="1" defaultMemberUniqueName="[Table1].[Incident Date].[All]" allUniqueName="[Table1].[Incident Date].[All]" dimensionUniqueName="[Table1]" displayFolder="" count="0" memberValueDatatype="7" unbalanced="0"/>
    <cacheHierarchy uniqueName="[Table1].[Date Received]" caption="Date Received" attribute="1" time="1" defaultMemberUniqueName="[Table1].[Date Received].[All]" allUniqueName="[Table1].[Date Received].[All]" dimensionUniqueName="[Table1]" displayFolder="" count="0" memberValueDatatype="7" unbalanced="0"/>
    <cacheHierarchy uniqueName="[Table1].[Date Completed]" caption="Date Completed" attribute="1" time="1" defaultMemberUniqueName="[Table1].[Date Completed].[All]" allUniqueName="[Table1].[Date Completed].[All]" dimensionUniqueName="[Table1]" displayFolder="" count="0" memberValueDatatype="7" unbalanced="0"/>
    <cacheHierarchy uniqueName="[Table1].[Item #]" caption="Item #" attribute="1" defaultMemberUniqueName="[Table1].[Item #].[All]" allUniqueName="[Table1].[Item #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130" unbalanced="0"/>
    <cacheHierarchy uniqueName="[Table1].[Packaging]" caption="Packaging" attribute="1" defaultMemberUniqueName="[Table1].[Packaging].[All]" allUniqueName="[Table1].[Packaging].[All]" dimensionUniqueName="[Table1]" displayFolder="" count="0" memberValueDatatype="130" unbalanced="0"/>
    <cacheHierarchy uniqueName="[Table1].[Description]" caption="Description" attribute="1" defaultMemberUniqueName="[Table1].[Description].[All]" allUniqueName="[Table1].[Description].[All]" dimensionUniqueName="[Table1]" displayFolder="" count="0" memberValueDatatype="130" unbalanced="0"/>
    <cacheHierarchy uniqueName="[Table1].[Envelope Color]" caption="Envelope Color" attribute="1" defaultMemberUniqueName="[Table1].[Envelope Color].[All]" allUniqueName="[Table1].[Envelope Color].[All]" dimensionUniqueName="[Table1]" displayFolder="" count="0" memberValueDatatype="130" unbalanced="0"/>
    <cacheHierarchy uniqueName="[Table1].[Stamp Image]" caption="Stamp Image" attribute="1" defaultMemberUniqueName="[Table1].[Stamp Image].[All]" allUniqueName="[Table1].[Stamp Image].[All]" dimensionUniqueName="[Table1]" displayFolder="" count="0" memberValueDatatype="130" unbalanced="0"/>
    <cacheHierarchy uniqueName="[Table1].[Stamp Text]" caption="Stamp Text" attribute="1" defaultMemberUniqueName="[Table1].[Stamp Text].[All]" allUniqueName="[Table1].[Stamp Text].[All]" dimensionUniqueName="[Table1]" displayFolder="" count="0" memberValueDatatype="130" unbalanced="0"/>
    <cacheHierarchy uniqueName="[Table1].[CS Notes]" caption="CS Notes" attribute="1" defaultMemberUniqueName="[Table1].[CS Notes].[All]" allUniqueName="[Table1].[CS Notes].[All]" dimensionUniqueName="[Table1]" displayFolder="" count="0" memberValueDatatype="130" unbalanced="0"/>
    <cacheHierarchy uniqueName="[Table1].[IDed Compounds]" caption="IDed Compounds" attribute="1" defaultMemberUniqueName="[Table1].[IDed Compounds].[All]" allUniqueName="[Table1].[IDed Compounds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Indicated Compounds]" caption="Indicated Compounds" attribute="1" defaultMemberUniqueName="[Table1].[Indicated Compounds].[All]" allUniqueName="[Table1].[Indicated Compounds].[All]" dimensionUniqueName="[Table1]" displayFolder="" count="0" memberValueDatatype="130" unbalanced="0"/>
    <cacheHierarchy uniqueName="[Table1].[Non-NYS Controlled Substances]" caption="Non-NYS Controlled Substances" attribute="1" defaultMemberUniqueName="[Table1].[Non-NYS Controlled Substances].[All]" allUniqueName="[Table1].[Non-NYS Controlled Substances].[All]" dimensionUniqueName="[Table1]" displayFolder="" count="0" memberValueDatatype="130" unbalanced="0"/>
    <cacheHierarchy uniqueName="[Table1].[Forensic Intelligence Substances]" caption="Forensic Intelligence Substances" attribute="1" defaultMemberUniqueName="[Table1].[Forensic Intelligence Substances].[All]" allUniqueName="[Table1].[Forensic Intelligence Substances].[All]" dimensionUniqueName="[Table1]" displayFolder="" count="0" memberValueDatatype="130" unbalanced="0"/>
    <cacheHierarchy uniqueName="[Table1].[Standard Packaging]" caption="Standard Packaging" attribute="1" defaultMemberUniqueName="[Table1].[Standard Packaging].[All]" allUniqueName="[Table1].[Standard Packaging].[All]" dimensionUniqueName="[Table1]" displayFolder="" count="0" memberValueDatatype="130" unbalanced="0"/>
    <cacheHierarchy uniqueName="[Table1].[Diluants]" caption="Diluants" attribute="1" defaultMemberUniqueName="[Table1].[Diluants].[All]" allUniqueName="[Table1].[Diluants].[All]" dimensionUniqueName="[Table1]" displayFolder="" count="0" memberValueDatatype="130" unbalanced="0"/>
    <cacheHierarchy uniqueName="[Table1].[Other INDs 1]" caption="Other INDs 1" attribute="1" defaultMemberUniqueName="[Table1].[Other INDs 1].[All]" allUniqueName="[Table1].[Other INDs 1].[All]" dimensionUniqueName="[Table1]" displayFolder="" count="0" memberValueDatatype="130" unbalanced="0"/>
    <cacheHierarchy uniqueName="[Table1].[Fentanyl and Analogs]" caption="Fentanyl and Analogs" attribute="1" defaultMemberUniqueName="[Table1].[Fentanyl and Analogs].[All]" allUniqueName="[Table1].[Fentanyl and Analogs].[All]" dimensionUniqueName="[Table1]" displayFolder="" count="0" memberValueDatatype="130" unbalanced="0"/>
    <cacheHierarchy uniqueName="[Table1].[Concat IDs]" caption="Concat IDs" attribute="1" defaultMemberUniqueName="[Table1].[Concat IDs].[All]" allUniqueName="[Table1].[Concat IDs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Concat INDs]" caption="Concat INDs" attribute="1" defaultMemberUniqueName="[Table1].[Concat INDs].[All]" allUniqueName="[Table1].[Concat INDs].[All]" dimensionUniqueName="[Table1]" displayFolder="" count="0" memberValueDatatype="130" unbalanced="0"/>
    <cacheHierarchy uniqueName="[Table1].[Concat Ds]" caption="Concat Ds" attribute="1" defaultMemberUniqueName="[Table1].[Concat Ds].[All]" allUniqueName="[Table1].[Concat Ds].[All]" dimensionUniqueName="[Table1]" displayFolder="" count="0" memberValueDatatype="130" unbalanced="0"/>
    <cacheHierarchy uniqueName="[Table1].[Concat FENT]" caption="Concat FENT" attribute="1" defaultMemberUniqueName="[Table1].[Concat FENT].[All]" allUniqueName="[Table1].[Concat FENT].[All]" dimensionUniqueName="[Table1]" displayFolder="" count="0" memberValueDatatype="130" unbalanced="0"/>
    <cacheHierarchy uniqueName="[Table1].[Concat FED]" caption="Concat FED" attribute="1" defaultMemberUniqueName="[Table1].[Concat FED].[All]" allUniqueName="[Table1].[Concat FED].[All]" dimensionUniqueName="[Table1]" displayFolder="" count="0" memberValueDatatype="130" unbalanced="0"/>
    <cacheHierarchy uniqueName="[Table1].[Concat FIS]" caption="Concat FIS" attribute="1" defaultMemberUniqueName="[Table1].[Concat FIS].[All]" allUniqueName="[Table1].[Concat FIS].[All]" dimensionUniqueName="[Table1]" displayFolder="" count="0" memberValueDatatype="130" unbalanced="0"/>
    <cacheHierarchy uniqueName="[Table1].[Master Mix]" caption="Master Mix" attribute="1" defaultMemberUniqueName="[Table1].[Master Mix].[All]" allUniqueName="[Table1].[Master Mix].[All]" dimensionUniqueName="[Table1]" displayFolder="" count="0" memberValueDatatype="130" unbalanced="0"/>
    <cacheHierarchy uniqueName="[Table1].[Master Mix No Ds]" caption="Master Mix No Ds" attribute="1" defaultMemberUniqueName="[Table1].[Master Mix No Ds].[All]" allUniqueName="[Table1].[Master Mix No Ds].[All]" dimensionUniqueName="[Table1]" displayFolder="" count="0" memberValueDatatype="130" unbalanced="0"/>
    <cacheHierarchy uniqueName="[Table1].[Fatal/NonFatal]" caption="Fatal/NonFatal" attribute="1" defaultMemberUniqueName="[Table1].[Fatal/NonFatal].[All]" allUniqueName="[Table1].[Fatal/NonFatal].[All]" dimensionUniqueName="[Table1]" displayFolder="" count="0" memberValueDatatype="130" unbalanced="0"/>
    <cacheHierarchy uniqueName="[Table1].[Precinct]" caption="Precinct" attribute="1" defaultMemberUniqueName="[Table1].[Precinct].[All]" allUniqueName="[Table1].[Precinct].[All]" dimensionUniqueName="[Table1]" displayFolder="" count="0" memberValueDatatype="130" unbalanced="0"/>
    <cacheHierarchy uniqueName="[Table1].[Boro]" caption="Boro" attribute="1" defaultMemberUniqueName="[Table1].[Boro].[All]" allUniqueName="[Table1].[Boro].[All]" dimensionUniqueName="[Table1]" displayFolder="" count="0" memberValueDatatype="130" unbalanced="0"/>
    <cacheHierarchy uniqueName="[Table1].[ID Combination Flag]" caption="ID Combination Flag" attribute="1" defaultMemberUniqueName="[Table1].[ID Combination Flag].[All]" allUniqueName="[Table1].[ID Combination Flag].[All]" dimensionUniqueName="[Table1]" displayFolder="" count="0" memberValueDatatype="130" unbalanced="0"/>
    <cacheHierarchy uniqueName="[Table1].[IND Combination Flag]" caption="IND Combination Flag" attribute="1" defaultMemberUniqueName="[Table1].[IND Combination Flag].[All]" allUniqueName="[Table1].[IND Combination Flag].[All]" dimensionUniqueName="[Table1]" displayFolder="" count="0" memberValueDatatype="130" unbalanced="0"/>
    <cacheHierarchy uniqueName="[Table1].[D Combination Flag]" caption="D Combination Flag" attribute="1" defaultMemberUniqueName="[Table1].[D Combination Flag].[All]" allUniqueName="[Table1].[D Combination Flag].[All]" dimensionUniqueName="[Table1]" displayFolder="" count="0" memberValueDatatype="130" unbalanced="0"/>
    <cacheHierarchy uniqueName="[Table1].[Fentanyl Flag]" caption="Fentanyl Flag" attribute="1" defaultMemberUniqueName="[Table1].[Fentanyl Flag].[All]" allUniqueName="[Table1].[Fentanyl Flag].[All]" dimensionUniqueName="[Table1]" displayFolder="" count="0" memberValueDatatype="130" unbalanced="0"/>
    <cacheHierarchy uniqueName="[Table1].[Cocaine Flag]" caption="Cocaine Flag" attribute="1" defaultMemberUniqueName="[Table1].[Cocaine Flag].[All]" allUniqueName="[Table1].[Cocaine Flag].[All]" dimensionUniqueName="[Table1]" displayFolder="" count="0" memberValueDatatype="130" unbalanced="0"/>
    <cacheHierarchy uniqueName="[Table1].[Residue Flag]" caption="Residue Flag" attribute="1" defaultMemberUniqueName="[Table1].[Residue Flag].[All]" allUniqueName="[Table1].[Residue Flag].[All]" dimensionUniqueName="[Table1]" displayFolder="" count="0" memberValueDatatype="130" unbalanced="0"/>
    <cacheHierarchy uniqueName="[Table1].[Other INDS]" caption="Other INDS" attribute="1" defaultMemberUniqueName="[Table1].[Other INDS].[All]" allUniqueName="[Table1].[Other INDS].[All]" dimensionUniqueName="[Table1]" displayFolder="" count="0" memberValueDatatype="13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Count of Invoice + Item]" caption="Count of Invoice + Item" measure="1" displayFolder="" measureGroup="Table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nvoice + Item]" caption="Distinct Count of Invoice + Item" measure="1" displayFolder="" measureGroup="Table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mplaint #]" caption="Count of Complaint #" measure="1" displayFolder="" measureGroup="Table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Distinct Count of Complaint #]" caption="Distinct Count of Complaint #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0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>
  <location ref="A3:B6" firstHeaderRow="1" firstDataRow="1" firstDataCol="1" rowPageCount="1" colPageCount="1"/>
  <pivotFields count="3">
    <pivotField axis="axisPage" allDrilled="1" showAll="0" defaultAttributeDrillState="1">
      <items count="1">
        <item t="default"/>
      </items>
    </pivotField>
    <pivotField axis="axisRow" allDrilled="1" showAll="0" defaultAttributeDrillState="1">
      <items count="3">
        <item x="0"/>
        <item x="1"/>
        <item t="default"/>
      </items>
    </pivotField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0" hier="18" name="[Table1].[IDed Compounds].&amp;[Cocaine]" cap="Cocaine"/>
  </pageFields>
  <dataFields count="1">
    <dataField name="Distinct Count of Complaint #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nalyzed OD Cases May 2018.xlsm!Table1">
        <x15:activeTabTopLevelEntity name="[Table1]"/>
      </x15:pivotTableUISettings>
    </ext>
  </extLst>
</pivotTableDefinition>
</file>

<file path=xl/tables/table1.xml><?xml version="1.0" encoding="utf-8"?>
<table xmlns="http://schemas.openxmlformats.org/spreadsheetml/2006/main" id="1" name="Table1" displayName="Table1" ref="A3:AF45" totalsRowShown="0" headerRowDxfId="56" dataDxfId="55">
  <autoFilter ref="A3:AF45"/>
  <sortState ref="A4:AF45">
    <sortCondition ref="C4:C45"/>
    <sortCondition ref="A4:A45"/>
  </sortState>
  <tableColumns count="32">
    <tableColumn id="16" name="Invoice + Item" dataDxfId="54">
      <calculatedColumnFormula>Table1[[#This Row],[Invoice '#]]&amp;"-"&amp;Table1[[#This Row],[Item '#]]</calculatedColumnFormula>
    </tableColumn>
    <tableColumn id="1" name="Invoice #" dataDxfId="53"/>
    <tableColumn id="2" name="Complaint #" dataDxfId="52"/>
    <tableColumn id="5" name="Item #" dataDxfId="51"/>
    <tableColumn id="6" name="Quantity" dataDxfId="50"/>
    <tableColumn id="7" name="Packaging" dataDxfId="49"/>
    <tableColumn id="8" name="Description" dataDxfId="48"/>
    <tableColumn id="9" name="Envelope Color" dataDxfId="47"/>
    <tableColumn id="10" name="Stamp Image" dataDxfId="46"/>
    <tableColumn id="11" name="Stamp Text" dataDxfId="45"/>
    <tableColumn id="17" name="IDed Compounds" dataDxfId="44"/>
    <tableColumn id="12" name="Indicated Compounds" dataDxfId="43"/>
    <tableColumn id="18" name="Non-NYS Controlled Substances" dataDxfId="42"/>
    <tableColumn id="13" name="Forensic Intelligence Substances" dataDxfId="41"/>
    <tableColumn id="32" name="Standard Packaging" dataDxfId="40">
      <calculatedColumnFormula array="1">INDEX('Packaging Standards'!B$2:B$38,MATCH(TRUE,ISNUMBER(SEARCH('Packaging Standards'!A$2:A$38,Table1[[#This Row],[Packaging]])),0))</calculatedColumnFormula>
    </tableColumn>
    <tableColumn id="26" name="Diluants" dataDxfId="39">
      <calculatedColumnFormula>IF(ISNUMBER(MATCH(Table1[[#This Row],[Indicated Compounds]],Table2[Diluants],0))=TRUE,Table1[[#This Row],[Indicated Compounds]],"")</calculatedColumnFormula>
    </tableColumn>
    <tableColumn id="29" name="Other INDs" dataDxfId="38">
      <calculatedColumnFormula>IF(ISBLANK(Table1[[#This Row],[Indicated Compounds]])=TRUE,"",IF(ISNUMBER(MATCH(Table1[[#This Row],[Indicated Compounds]],Table2[Diluants],0))=FALSE,Table1[[#This Row],[Indicated Compounds]],""))</calculatedColumnFormula>
    </tableColumn>
    <tableColumn id="33" name="Fentanyl and Analogs" dataDxfId="37">
      <calculatedColumnFormula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calculatedColumnFormula>
    </tableColumn>
    <tableColumn id="14" name="ID Mixture" dataDxfId="36">
      <calculatedColumnFormula>VLOOKUP(Table1[[#This Row],[Invoice + Item]],IDs!A:B,2,FALSE)</calculatedColumnFormula>
    </tableColumn>
    <tableColumn id="23" name="IND Mixture" dataDxfId="35">
      <calculatedColumnFormula>VLOOKUP(Table1[[#This Row],[Invoice + Item]],INDs!A:B,2,FALSE)</calculatedColumnFormula>
    </tableColumn>
    <tableColumn id="24" name="D Mixture" dataDxfId="34">
      <calculatedColumnFormula>VLOOKUP(Table1[[#This Row],[Invoice + Item]],Ds!A:B,2,FALSE)</calculatedColumnFormula>
    </tableColumn>
    <tableColumn id="34" name="FENT Mixture" dataDxfId="33">
      <calculatedColumnFormula>VLOOKUP(Table1[[#This Row],[Invoice + Item]],FENT!A:B,2,FALSE)</calculatedColumnFormula>
    </tableColumn>
    <tableColumn id="15" name="FED Mixture" dataDxfId="32">
      <calculatedColumnFormula>VLOOKUP(Table1[[#This Row],[Invoice + Item]],FED!A:B,2,FALSE)</calculatedColumnFormula>
    </tableColumn>
    <tableColumn id="21" name="FIS Mixture" dataDxfId="31">
      <calculatedColumnFormula>VLOOKUP(Table1[[#This Row],[Invoice + Item]],FIS!A:B,2,FALSE)</calculatedColumnFormula>
    </tableColumn>
    <tableColumn id="31" name="Master Mix" dataDxfId="30">
      <calculatedColumnFormula>MyConcat(Table1[[#This Row],[ID Mixture]:[D Mixture]])</calculatedColumnFormula>
    </tableColumn>
    <tableColumn id="42" name="Master Mix No Ds" dataDxfId="29">
      <calculatedColumnFormula>MyConcat(Table1[[#This Row],[ID Mixture]:[IND Mixture]])</calculatedColumnFormula>
    </tableColumn>
    <tableColumn id="36" name="ID Combination Flag" dataDxfId="28">
      <calculatedColumnFormula>IF(ISNUMBER(SEARCH(",",Table1[ID Mixture]))=TRUE, "TRUE", "FALSE")</calculatedColumnFormula>
    </tableColumn>
    <tableColumn id="37" name="IND Combination Flag" dataDxfId="27">
      <calculatedColumnFormula>IF(ISNUMBER(SEARCH(",",Table1[IND Mixture]))=TRUE, "TRUE", "FALSE")</calculatedColumnFormula>
    </tableColumn>
    <tableColumn id="38" name="D Combination Flag" dataDxfId="26">
      <calculatedColumnFormula>IF(ISNUMBER(SEARCH(",",Table1[D Mixture]))=TRUE, "TRUE", "FALSE")</calculatedColumnFormula>
    </tableColumn>
    <tableColumn id="39" name="Fentanyl Flag" dataDxfId="25">
      <calculatedColumnFormula>IF(COUNTIF(Table1[[#This Row],[ID Mixture]:[IND Mixture]],"*fent*")&gt;0,"TRUE","FALSE")</calculatedColumnFormula>
    </tableColumn>
    <tableColumn id="40" name="Cocaine Flag" dataDxfId="24">
      <calculatedColumnFormula>IF(COUNTIF(Table1[[#This Row],[ID Mixture]:[IND Mixture]],"*cocaine*")&gt;0,"TRUE","FALSE")</calculatedColumnFormula>
    </tableColumn>
    <tableColumn id="41" name="Residue Flag" dataDxfId="23">
      <calculatedColumnFormula>IF(ISNUMBER(SEARCH("residue",Table1[Description]))=TRUE, "TRUE", "FALSE")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B29" totalsRowShown="0" headerRowDxfId="11" dataDxfId="10" tableBorderDxfId="9">
  <autoFilter ref="A1:B29"/>
  <tableColumns count="2">
    <tableColumn id="1" name="Diluants" dataDxfId="8"/>
    <tableColumn id="2" name="Analogues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"/>
  <sheetViews>
    <sheetView workbookViewId="0">
      <selection activeCell="B5" sqref="B5"/>
    </sheetView>
  </sheetViews>
  <sheetFormatPr defaultRowHeight="12.75" x14ac:dyDescent="0.2"/>
  <cols>
    <col min="1" max="1" width="15.28515625" customWidth="1"/>
    <col min="2" max="2" width="27.7109375" customWidth="1"/>
    <col min="3" max="3" width="39.5703125" bestFit="1" customWidth="1"/>
    <col min="4" max="4" width="22.28515625" bestFit="1" customWidth="1"/>
    <col min="5" max="5" width="14.7109375" bestFit="1" customWidth="1"/>
    <col min="6" max="6" width="8.42578125" customWidth="1"/>
    <col min="7" max="7" width="19" bestFit="1" customWidth="1"/>
    <col min="8" max="8" width="8.85546875" customWidth="1"/>
    <col min="9" max="9" width="7" customWidth="1"/>
    <col min="10" max="10" width="9.7109375" bestFit="1" customWidth="1"/>
    <col min="11" max="11" width="10.7109375" bestFit="1" customWidth="1"/>
    <col min="12" max="12" width="11.140625" bestFit="1" customWidth="1"/>
    <col min="13" max="13" width="18.28515625" bestFit="1" customWidth="1"/>
    <col min="14" max="14" width="9.5703125" bestFit="1" customWidth="1"/>
    <col min="15" max="15" width="5.42578125" customWidth="1"/>
    <col min="16" max="16" width="19.42578125" bestFit="1" customWidth="1"/>
    <col min="17" max="17" width="9.7109375" bestFit="1" customWidth="1"/>
    <col min="18" max="18" width="11.7109375" bestFit="1" customWidth="1"/>
  </cols>
  <sheetData>
    <row r="1" spans="1:2" x14ac:dyDescent="0.2">
      <c r="A1" s="8" t="s">
        <v>8</v>
      </c>
      <c r="B1" t="s" vm="1">
        <v>236</v>
      </c>
    </row>
    <row r="3" spans="1:2" x14ac:dyDescent="0.2">
      <c r="A3" s="8" t="s">
        <v>56</v>
      </c>
      <c r="B3" t="s">
        <v>258</v>
      </c>
    </row>
    <row r="4" spans="1:2" x14ac:dyDescent="0.2">
      <c r="A4" s="9" t="s">
        <v>236</v>
      </c>
      <c r="B4" s="10">
        <v>5</v>
      </c>
    </row>
    <row r="5" spans="1:2" x14ac:dyDescent="0.2">
      <c r="A5" s="9" t="s">
        <v>257</v>
      </c>
      <c r="B5" s="10">
        <v>1</v>
      </c>
    </row>
    <row r="6" spans="1:2" x14ac:dyDescent="0.2">
      <c r="A6" s="9" t="s">
        <v>57</v>
      </c>
      <c r="B6" s="10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  <pageSetUpPr autoPageBreaks="0"/>
  </sheetPr>
  <dimension ref="A1:AF45"/>
  <sheetViews>
    <sheetView tabSelected="1" topLeftCell="A4" workbookViewId="0">
      <selection activeCell="E20" sqref="E20"/>
    </sheetView>
  </sheetViews>
  <sheetFormatPr defaultRowHeight="12.75" x14ac:dyDescent="0.2"/>
  <cols>
    <col min="1" max="1" width="16.28515625" bestFit="1" customWidth="1"/>
    <col min="2" max="2" width="11.42578125" bestFit="1" customWidth="1"/>
    <col min="3" max="3" width="15.28515625" bestFit="1" customWidth="1"/>
    <col min="4" max="4" width="8.85546875" bestFit="1" customWidth="1"/>
    <col min="5" max="5" width="10.85546875" bestFit="1" customWidth="1"/>
    <col min="6" max="6" width="24" bestFit="1" customWidth="1"/>
    <col min="7" max="7" width="34.42578125" bestFit="1" customWidth="1"/>
    <col min="8" max="8" width="17.28515625" bestFit="1" customWidth="1"/>
    <col min="9" max="9" width="15.5703125" bestFit="1" customWidth="1"/>
    <col min="10" max="10" width="13.7109375" bestFit="1" customWidth="1"/>
    <col min="11" max="11" width="18.85546875" bestFit="1" customWidth="1"/>
    <col min="12" max="12" width="39.28515625" bestFit="1" customWidth="1"/>
    <col min="13" max="13" width="13.5703125" bestFit="1" customWidth="1"/>
    <col min="14" max="14" width="22.5703125" bestFit="1" customWidth="1"/>
    <col min="15" max="15" width="16.140625" bestFit="1" customWidth="1"/>
    <col min="16" max="16" width="14" bestFit="1" customWidth="1"/>
    <col min="17" max="18" width="39.28515625" bestFit="1" customWidth="1"/>
    <col min="19" max="19" width="37.7109375" bestFit="1" customWidth="1"/>
    <col min="20" max="20" width="63.5703125" bestFit="1" customWidth="1"/>
    <col min="21" max="21" width="35.140625" bestFit="1" customWidth="1"/>
    <col min="22" max="22" width="71.5703125" bestFit="1" customWidth="1"/>
    <col min="23" max="23" width="24.85546875" bestFit="1" customWidth="1"/>
    <col min="24" max="24" width="38" bestFit="1" customWidth="1"/>
    <col min="25" max="25" width="100.5703125" bestFit="1" customWidth="1"/>
    <col min="26" max="26" width="86" bestFit="1" customWidth="1"/>
    <col min="27" max="27" width="13.7109375" bestFit="1" customWidth="1"/>
    <col min="28" max="29" width="12.5703125" bestFit="1" customWidth="1"/>
    <col min="30" max="30" width="11.140625" bestFit="1" customWidth="1"/>
    <col min="31" max="31" width="10.7109375" bestFit="1" customWidth="1"/>
    <col min="32" max="32" width="10.5703125" bestFit="1" customWidth="1"/>
  </cols>
  <sheetData>
    <row r="1" spans="1:32" ht="15" x14ac:dyDescent="0.2">
      <c r="A1" s="62" t="s">
        <v>291</v>
      </c>
      <c r="B1" s="31" t="s">
        <v>66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S1" s="33" t="s">
        <v>70</v>
      </c>
      <c r="T1" s="34" t="s">
        <v>71</v>
      </c>
      <c r="U1" s="35"/>
      <c r="V1" s="36" t="s">
        <v>72</v>
      </c>
      <c r="W1" s="37" t="s">
        <v>73</v>
      </c>
      <c r="X1" s="38" t="s">
        <v>74</v>
      </c>
    </row>
    <row r="2" spans="1:32" ht="15" x14ac:dyDescent="0.2">
      <c r="A2" s="62" t="s">
        <v>292</v>
      </c>
      <c r="B2" s="31" t="s">
        <v>67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S2" s="39"/>
      <c r="T2" s="35"/>
      <c r="U2" s="35"/>
      <c r="V2" s="36" t="s">
        <v>75</v>
      </c>
      <c r="W2" s="37" t="s">
        <v>76</v>
      </c>
      <c r="X2" s="40"/>
    </row>
    <row r="3" spans="1:32" ht="38.25" x14ac:dyDescent="0.2">
      <c r="A3" s="2" t="s">
        <v>43</v>
      </c>
      <c r="B3" s="2" t="s">
        <v>0</v>
      </c>
      <c r="C3" s="1" t="s">
        <v>58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2" t="s">
        <v>10</v>
      </c>
      <c r="N3" s="1" t="s">
        <v>11</v>
      </c>
      <c r="O3" s="1" t="s">
        <v>77</v>
      </c>
      <c r="P3" s="7" t="s">
        <v>63</v>
      </c>
      <c r="Q3" s="7" t="s">
        <v>78</v>
      </c>
      <c r="R3" s="7" t="s">
        <v>79</v>
      </c>
      <c r="S3" s="1" t="s">
        <v>285</v>
      </c>
      <c r="T3" s="7" t="s">
        <v>286</v>
      </c>
      <c r="U3" s="7" t="s">
        <v>287</v>
      </c>
      <c r="V3" s="7" t="s">
        <v>288</v>
      </c>
      <c r="W3" s="5" t="s">
        <v>289</v>
      </c>
      <c r="X3" s="12" t="s">
        <v>290</v>
      </c>
      <c r="Y3" s="7" t="s">
        <v>220</v>
      </c>
      <c r="Z3" s="7" t="s">
        <v>221</v>
      </c>
      <c r="AA3" s="12" t="s">
        <v>80</v>
      </c>
      <c r="AB3" s="12" t="s">
        <v>81</v>
      </c>
      <c r="AC3" s="12" t="s">
        <v>82</v>
      </c>
      <c r="AD3" s="12" t="s">
        <v>83</v>
      </c>
      <c r="AE3" s="12" t="s">
        <v>84</v>
      </c>
      <c r="AF3" s="12" t="s">
        <v>85</v>
      </c>
    </row>
    <row r="4" spans="1:32" x14ac:dyDescent="0.2">
      <c r="A4" s="52" t="str">
        <f>Table1[[#This Row],[Invoice '#]]&amp;"-"&amp;Table1[[#This Row],[Item '#]]</f>
        <v>0277-1</v>
      </c>
      <c r="B4" s="50" t="s">
        <v>259</v>
      </c>
      <c r="C4" s="50" t="s">
        <v>273</v>
      </c>
      <c r="D4" s="50" t="s">
        <v>222</v>
      </c>
      <c r="E4" s="50" t="s">
        <v>222</v>
      </c>
      <c r="F4" s="50" t="s">
        <v>223</v>
      </c>
      <c r="G4" s="50" t="s">
        <v>224</v>
      </c>
      <c r="H4" s="50" t="s">
        <v>225</v>
      </c>
      <c r="I4" s="50" t="s">
        <v>225</v>
      </c>
      <c r="J4" s="50" t="s">
        <v>225</v>
      </c>
      <c r="K4" s="50" t="s">
        <v>226</v>
      </c>
      <c r="L4" s="50"/>
      <c r="M4" s="50"/>
      <c r="N4" s="50"/>
      <c r="O4" s="53" t="str">
        <f t="array" ref="O4">INDEX('Packaging Standards'!B$2:B$38,MATCH(TRUE,ISNUMBER(SEARCH('Packaging Standards'!A$2:A$38,Table1[[#This Row],[Packaging]])),0))</f>
        <v>Pipe</v>
      </c>
      <c r="P4" s="54" t="str">
        <f>IF(ISNUMBER(MATCH(Table1[[#This Row],[Indicated Compounds]],Table2[Diluants],0))=TRUE,Table1[[#This Row],[Indicated Compounds]],"")</f>
        <v/>
      </c>
      <c r="Q4" s="54" t="str">
        <f>IF(ISBLANK(Table1[[#This Row],[Indicated Compounds]])=TRUE,"",IF(ISNUMBER(MATCH(Table1[[#This Row],[Indicated Compounds]],Table2[Diluants],0))=FALSE,Table1[[#This Row],[Indicated Compounds]],""))</f>
        <v/>
      </c>
      <c r="R4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" s="55" t="str">
        <f>VLOOKUP(Table1[[#This Row],[Invoice + Item]],IDs!A:B,2,FALSE)</f>
        <v>Methamphetamine</v>
      </c>
      <c r="T4" s="56" t="str">
        <f>VLOOKUP(Table1[[#This Row],[Invoice + Item]],INDs!A:B,2,FALSE)</f>
        <v/>
      </c>
      <c r="U4" s="56" t="str">
        <f>VLOOKUP(Table1[[#This Row],[Invoice + Item]],Ds!A:B,2,FALSE)</f>
        <v/>
      </c>
      <c r="V4" s="56" t="str">
        <f>VLOOKUP(Table1[[#This Row],[Invoice + Item]],FENT!A:B,2,FALSE)</f>
        <v/>
      </c>
      <c r="W4" s="57" t="str">
        <f>VLOOKUP(Table1[[#This Row],[Invoice + Item]],FED!A:B,2,FALSE)</f>
        <v/>
      </c>
      <c r="X4" s="53" t="str">
        <f>VLOOKUP(Table1[[#This Row],[Invoice + Item]],FIS!A:B,2,FALSE)</f>
        <v/>
      </c>
      <c r="Y4" s="53" t="str">
        <f>MyConcat(Table1[[#This Row],[ID Mixture]:[D Mixture]])</f>
        <v>Methamphetamine</v>
      </c>
      <c r="Z4" s="53" t="str">
        <f>MyConcat(Table1[[#This Row],[ID Mixture]:[IND Mixture]])</f>
        <v>Methamphetamine</v>
      </c>
      <c r="AA4" s="56" t="str">
        <f>IF(ISNUMBER(SEARCH(",",Table1[ID Mixture]))=TRUE, "TRUE", "FALSE")</f>
        <v>FALSE</v>
      </c>
      <c r="AB4" s="56" t="str">
        <f>IF(ISNUMBER(SEARCH(",",Table1[IND Mixture]))=TRUE, "TRUE", "FALSE")</f>
        <v>FALSE</v>
      </c>
      <c r="AC4" s="56" t="str">
        <f>IF(ISNUMBER(SEARCH(",",Table1[D Mixture]))=TRUE, "TRUE", "FALSE")</f>
        <v>FALSE</v>
      </c>
      <c r="AD4" s="56" t="str">
        <f>IF(COUNTIF(Table1[[#This Row],[ID Mixture]:[IND Mixture]],"*fent*")&gt;0,"TRUE","FALSE")</f>
        <v>FALSE</v>
      </c>
      <c r="AE4" s="56" t="str">
        <f>IF(COUNTIF(Table1[[#This Row],[ID Mixture]:[IND Mixture]],"*cocaine*")&gt;0,"TRUE","FALSE")</f>
        <v>FALSE</v>
      </c>
      <c r="AF4" s="56" t="str">
        <f>IF(ISNUMBER(SEARCH("residue",Table1[Description]))=TRUE, "TRUE", "FALSE")</f>
        <v>TRUE</v>
      </c>
    </row>
    <row r="5" spans="1:32" x14ac:dyDescent="0.2">
      <c r="A5" s="58" t="str">
        <f>Table1[[#This Row],[Invoice '#]]&amp;"-"&amp;Table1[[#This Row],[Item '#]]</f>
        <v>8197-4A</v>
      </c>
      <c r="B5" s="50" t="s">
        <v>260</v>
      </c>
      <c r="C5" s="50" t="s">
        <v>274</v>
      </c>
      <c r="D5" s="50" t="s">
        <v>227</v>
      </c>
      <c r="E5" s="50" t="s">
        <v>222</v>
      </c>
      <c r="F5" s="50" t="s">
        <v>228</v>
      </c>
      <c r="G5" s="50" t="s">
        <v>224</v>
      </c>
      <c r="H5" s="50" t="s">
        <v>225</v>
      </c>
      <c r="I5" s="50" t="s">
        <v>225</v>
      </c>
      <c r="J5" s="50" t="s">
        <v>225</v>
      </c>
      <c r="K5" s="50" t="s">
        <v>229</v>
      </c>
      <c r="L5" s="51"/>
      <c r="M5" s="50"/>
      <c r="N5" s="50"/>
      <c r="O5" s="53" t="str">
        <f t="array" ref="O5">INDEX('Packaging Standards'!B$2:B$38,MATCH(TRUE,ISNUMBER(SEARCH('Packaging Standards'!A$2:A$38,Table1[[#This Row],[Packaging]])),0))</f>
        <v>Glassine envelope</v>
      </c>
      <c r="P5" s="54" t="str">
        <f>IF(ISNUMBER(MATCH(Table1[[#This Row],[Indicated Compounds]],Table2[Diluants],0))=TRUE,Table1[[#This Row],[Indicated Compounds]],"")</f>
        <v/>
      </c>
      <c r="Q5" s="54" t="str">
        <f>IF(ISBLANK(Table1[[#This Row],[Indicated Compounds]])=TRUE,"",IF(ISNUMBER(MATCH(Table1[[#This Row],[Indicated Compounds]],Table2[Diluants],0))=FALSE,Table1[[#This Row],[Indicated Compounds]],""))</f>
        <v/>
      </c>
      <c r="R5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5" s="55" t="str">
        <f>VLOOKUP(Table1[[#This Row],[Invoice + Item]],IDs!A:B,2,FALSE)</f>
        <v>Heroin,Fentanyl</v>
      </c>
      <c r="T5" s="56" t="str">
        <f>VLOOKUP(Table1[[#This Row],[Invoice + Item]],INDs!A:B,2,FALSE)</f>
        <v/>
      </c>
      <c r="U5" s="56" t="str">
        <f>VLOOKUP(Table1[[#This Row],[Invoice + Item]],Ds!A:B,2,FALSE)</f>
        <v>Diltiazem</v>
      </c>
      <c r="V5" s="56" t="str">
        <f>VLOOKUP(Table1[[#This Row],[Invoice + Item]],FENT!A:B,2,FALSE)</f>
        <v>Fentanyl</v>
      </c>
      <c r="W5" s="57" t="str">
        <f>VLOOKUP(Table1[[#This Row],[Invoice + Item]],FED!A:B,2,FALSE)</f>
        <v/>
      </c>
      <c r="X5" s="53" t="str">
        <f>VLOOKUP(Table1[[#This Row],[Invoice + Item]],FIS!A:B,2,FALSE)</f>
        <v/>
      </c>
      <c r="Y5" s="53" t="str">
        <f>MyConcat(Table1[[#This Row],[ID Mixture]:[D Mixture]])</f>
        <v>Heroin,Fentanyl,Diltiazem</v>
      </c>
      <c r="Z5" s="53" t="str">
        <f>MyConcat(Table1[[#This Row],[ID Mixture]:[IND Mixture]])</f>
        <v>Heroin,Fentanyl</v>
      </c>
      <c r="AA5" s="56" t="str">
        <f>IF(ISNUMBER(SEARCH(",",Table1[ID Mixture]))=TRUE, "TRUE", "FALSE")</f>
        <v>TRUE</v>
      </c>
      <c r="AB5" s="56" t="str">
        <f>IF(ISNUMBER(SEARCH(",",Table1[IND Mixture]))=TRUE, "TRUE", "FALSE")</f>
        <v>FALSE</v>
      </c>
      <c r="AC5" s="56" t="str">
        <f>IF(ISNUMBER(SEARCH(",",Table1[D Mixture]))=TRUE, "TRUE", "FALSE")</f>
        <v>FALSE</v>
      </c>
      <c r="AD5" s="56" t="str">
        <f>IF(COUNTIF(Table1[[#This Row],[ID Mixture]:[IND Mixture]],"*fent*")&gt;0,"TRUE","FALSE")</f>
        <v>TRUE</v>
      </c>
      <c r="AE5" s="56" t="str">
        <f>IF(COUNTIF(Table1[[#This Row],[ID Mixture]:[IND Mixture]],"*cocaine*")&gt;0,"TRUE","FALSE")</f>
        <v>FALSE</v>
      </c>
      <c r="AF5" s="56" t="str">
        <f>IF(ISNUMBER(SEARCH("residue",Table1[Description]))=TRUE, "TRUE", "FALSE")</f>
        <v>TRUE</v>
      </c>
    </row>
    <row r="6" spans="1:32" x14ac:dyDescent="0.2">
      <c r="A6" s="58" t="str">
        <f>Table1[[#This Row],[Invoice '#]]&amp;"-"&amp;Table1[[#This Row],[Item '#]]</f>
        <v>8197-4A</v>
      </c>
      <c r="B6" s="51" t="s">
        <v>260</v>
      </c>
      <c r="C6" s="51" t="s">
        <v>274</v>
      </c>
      <c r="D6" s="51" t="s">
        <v>227</v>
      </c>
      <c r="E6" s="51" t="s">
        <v>222</v>
      </c>
      <c r="F6" s="51" t="s">
        <v>228</v>
      </c>
      <c r="G6" s="51" t="s">
        <v>224</v>
      </c>
      <c r="H6" s="50" t="s">
        <v>225</v>
      </c>
      <c r="I6" s="50" t="s">
        <v>225</v>
      </c>
      <c r="J6" s="50" t="s">
        <v>225</v>
      </c>
      <c r="K6" s="50" t="s">
        <v>20</v>
      </c>
      <c r="L6" s="50" t="s">
        <v>38</v>
      </c>
      <c r="M6" s="51"/>
      <c r="N6" s="51"/>
      <c r="O6" s="53" t="str">
        <f t="array" ref="O6">INDEX('Packaging Standards'!B$2:B$38,MATCH(TRUE,ISNUMBER(SEARCH('Packaging Standards'!A$2:A$38,Table1[[#This Row],[Packaging]])),0))</f>
        <v>Glassine envelope</v>
      </c>
      <c r="P6" s="54" t="str">
        <f>IF(ISNUMBER(MATCH(Table1[[#This Row],[Indicated Compounds]],Table2[Diluants],0))=TRUE,Table1[[#This Row],[Indicated Compounds]],"")</f>
        <v>Diltiazem</v>
      </c>
      <c r="Q6" s="54" t="str">
        <f>IF(ISBLANK(Table1[[#This Row],[Indicated Compounds]])=TRUE,"",IF(ISNUMBER(MATCH(Table1[[#This Row],[Indicated Compounds]],Table2[Diluants],0))=FALSE,Table1[[#This Row],[Indicated Compounds]],""))</f>
        <v/>
      </c>
      <c r="R6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6" s="55" t="str">
        <f>VLOOKUP(Table1[[#This Row],[Invoice + Item]],IDs!A:B,2,FALSE)</f>
        <v>Heroin,Fentanyl</v>
      </c>
      <c r="T6" s="56" t="str">
        <f>VLOOKUP(Table1[[#This Row],[Invoice + Item]],INDs!A:B,2,FALSE)</f>
        <v/>
      </c>
      <c r="U6" s="56" t="str">
        <f>VLOOKUP(Table1[[#This Row],[Invoice + Item]],Ds!A:B,2,FALSE)</f>
        <v>Diltiazem</v>
      </c>
      <c r="V6" s="56" t="str">
        <f>VLOOKUP(Table1[[#This Row],[Invoice + Item]],FENT!A:B,2,FALSE)</f>
        <v>Fentanyl</v>
      </c>
      <c r="W6" s="57" t="str">
        <f>VLOOKUP(Table1[[#This Row],[Invoice + Item]],FED!A:B,2,FALSE)</f>
        <v/>
      </c>
      <c r="X6" s="53" t="str">
        <f>VLOOKUP(Table1[[#This Row],[Invoice + Item]],FIS!A:B,2,FALSE)</f>
        <v/>
      </c>
      <c r="Y6" s="53" t="str">
        <f>MyConcat(Table1[[#This Row],[ID Mixture]:[D Mixture]])</f>
        <v>Heroin,Fentanyl,Diltiazem</v>
      </c>
      <c r="Z6" s="53" t="str">
        <f>MyConcat(Table1[[#This Row],[ID Mixture]:[IND Mixture]])</f>
        <v>Heroin,Fentanyl</v>
      </c>
      <c r="AA6" s="56" t="str">
        <f>IF(ISNUMBER(SEARCH(",",Table1[ID Mixture]))=TRUE, "TRUE", "FALSE")</f>
        <v>TRUE</v>
      </c>
      <c r="AB6" s="56" t="str">
        <f>IF(ISNUMBER(SEARCH(",",Table1[IND Mixture]))=TRUE, "TRUE", "FALSE")</f>
        <v>FALSE</v>
      </c>
      <c r="AC6" s="56" t="str">
        <f>IF(ISNUMBER(SEARCH(",",Table1[D Mixture]))=TRUE, "TRUE", "FALSE")</f>
        <v>FALSE</v>
      </c>
      <c r="AD6" s="56" t="str">
        <f>IF(COUNTIF(Table1[[#This Row],[ID Mixture]:[IND Mixture]],"*fent*")&gt;0,"TRUE","FALSE")</f>
        <v>TRUE</v>
      </c>
      <c r="AE6" s="56" t="str">
        <f>IF(COUNTIF(Table1[[#This Row],[ID Mixture]:[IND Mixture]],"*cocaine*")&gt;0,"TRUE","FALSE")</f>
        <v>FALSE</v>
      </c>
      <c r="AF6" s="56" t="str">
        <f>IF(ISNUMBER(SEARCH("residue",Table1[Description]))=TRUE, "TRUE", "FALSE")</f>
        <v>TRUE</v>
      </c>
    </row>
    <row r="7" spans="1:32" x14ac:dyDescent="0.2">
      <c r="A7" s="58" t="str">
        <f>Table1[[#This Row],[Invoice '#]]&amp;"-"&amp;Table1[[#This Row],[Item '#]]</f>
        <v>8197-4B</v>
      </c>
      <c r="B7" s="51" t="s">
        <v>260</v>
      </c>
      <c r="C7" s="51" t="s">
        <v>274</v>
      </c>
      <c r="D7" s="51" t="s">
        <v>230</v>
      </c>
      <c r="E7" s="51" t="s">
        <v>222</v>
      </c>
      <c r="F7" s="51" t="s">
        <v>231</v>
      </c>
      <c r="G7" s="51" t="s">
        <v>232</v>
      </c>
      <c r="H7" s="50" t="s">
        <v>225</v>
      </c>
      <c r="I7" s="50" t="s">
        <v>225</v>
      </c>
      <c r="J7" s="50" t="s">
        <v>225</v>
      </c>
      <c r="K7" s="50" t="s">
        <v>233</v>
      </c>
      <c r="L7" s="50" t="s">
        <v>22</v>
      </c>
      <c r="M7" s="51"/>
      <c r="N7" s="51"/>
      <c r="O7" s="53" t="str">
        <f t="array" ref="O7">INDEX('Packaging Standards'!B$2:B$38,MATCH(TRUE,ISNUMBER(SEARCH('Packaging Standards'!A$2:A$38,Table1[[#This Row],[Packaging]])),0))</f>
        <v>Glassine envelope</v>
      </c>
      <c r="P7" s="54" t="str">
        <f>IF(ISNUMBER(MATCH(Table1[[#This Row],[Indicated Compounds]],Table2[Diluants],0))=TRUE,Table1[[#This Row],[Indicated Compounds]],"")</f>
        <v>Caffeine</v>
      </c>
      <c r="Q7" s="54" t="str">
        <f>IF(ISBLANK(Table1[[#This Row],[Indicated Compounds]])=TRUE,"",IF(ISNUMBER(MATCH(Table1[[#This Row],[Indicated Compounds]],Table2[Diluants],0))=FALSE,Table1[[#This Row],[Indicated Compounds]],""))</f>
        <v/>
      </c>
      <c r="R7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7" s="55" t="str">
        <f>VLOOKUP(Table1[[#This Row],[Invoice + Item]],IDs!A:B,2,FALSE)</f>
        <v>Tramadol,Fentanyl,Heroin</v>
      </c>
      <c r="T7" s="56" t="str">
        <f>VLOOKUP(Table1[[#This Row],[Invoice + Item]],INDs!A:B,2,FALSE)</f>
        <v>Despropionyl Fluorofentanyl,Fluorobutyrylfentanyl/Fluoroisobutyrylfentanyl</v>
      </c>
      <c r="U7" s="56" t="str">
        <f>VLOOKUP(Table1[[#This Row],[Invoice + Item]],Ds!A:B,2,FALSE)</f>
        <v>Caffeine,Quinine</v>
      </c>
      <c r="V7" s="56" t="str">
        <f>VLOOKUP(Table1[[#This Row],[Invoice + Item]],FENT!A:B,2,FALSE)</f>
        <v>Fentanyl,Despropionyl Fluorofentanyl,Fluorobutyrylfentanyl/Fluoroisobutyrylfentanyl</v>
      </c>
      <c r="W7" s="57" t="str">
        <f>VLOOKUP(Table1[[#This Row],[Invoice + Item]],FED!A:B,2,FALSE)</f>
        <v/>
      </c>
      <c r="X7" s="53" t="str">
        <f>VLOOKUP(Table1[[#This Row],[Invoice + Item]],FIS!A:B,2,FALSE)</f>
        <v>Methoxyacetyl fentanyl</v>
      </c>
      <c r="Y7" s="53" t="str">
        <f>MyConcat(Table1[[#This Row],[ID Mixture]:[D Mixture]])</f>
        <v>Tramadol,Fentanyl,Heroin,Despropionyl Fluorofentanyl,Fluorobutyrylfentanyl/Fluoroisobutyrylfentanyl,Caffeine,Quinine</v>
      </c>
      <c r="Z7" s="53" t="str">
        <f>MyConcat(Table1[[#This Row],[ID Mixture]:[IND Mixture]])</f>
        <v>Tramadol,Fentanyl,Heroin,Despropionyl Fluorofentanyl,Fluorobutyrylfentanyl/Fluoroisobutyrylfentanyl</v>
      </c>
      <c r="AA7" s="56" t="str">
        <f>IF(ISNUMBER(SEARCH(",",Table1[ID Mixture]))=TRUE, "TRUE", "FALSE")</f>
        <v>TRUE</v>
      </c>
      <c r="AB7" s="56" t="str">
        <f>IF(ISNUMBER(SEARCH(",",Table1[IND Mixture]))=TRUE, "TRUE", "FALSE")</f>
        <v>TRUE</v>
      </c>
      <c r="AC7" s="56" t="str">
        <f>IF(ISNUMBER(SEARCH(",",Table1[D Mixture]))=TRUE, "TRUE", "FALSE")</f>
        <v>TRUE</v>
      </c>
      <c r="AD7" s="56" t="str">
        <f>IF(COUNTIF(Table1[[#This Row],[ID Mixture]:[IND Mixture]],"*fent*")&gt;0,"TRUE","FALSE")</f>
        <v>TRUE</v>
      </c>
      <c r="AE7" s="56" t="str">
        <f>IF(COUNTIF(Table1[[#This Row],[ID Mixture]:[IND Mixture]],"*cocaine*")&gt;0,"TRUE","FALSE")</f>
        <v>FALSE</v>
      </c>
      <c r="AF7" s="56" t="str">
        <f>IF(ISNUMBER(SEARCH("residue",Table1[Description]))=TRUE, "TRUE", "FALSE")</f>
        <v>FALSE</v>
      </c>
    </row>
    <row r="8" spans="1:32" x14ac:dyDescent="0.2">
      <c r="A8" s="58" t="str">
        <f>Table1[[#This Row],[Invoice '#]]&amp;"-"&amp;Table1[[#This Row],[Item '#]]</f>
        <v>8197-4B</v>
      </c>
      <c r="B8" s="51" t="s">
        <v>260</v>
      </c>
      <c r="C8" s="51" t="s">
        <v>274</v>
      </c>
      <c r="D8" s="51" t="s">
        <v>230</v>
      </c>
      <c r="E8" s="51" t="s">
        <v>222</v>
      </c>
      <c r="F8" s="51" t="s">
        <v>231</v>
      </c>
      <c r="G8" s="51" t="s">
        <v>232</v>
      </c>
      <c r="H8" s="50" t="s">
        <v>225</v>
      </c>
      <c r="I8" s="50" t="s">
        <v>225</v>
      </c>
      <c r="J8" s="50" t="s">
        <v>225</v>
      </c>
      <c r="K8" s="51"/>
      <c r="L8" s="50" t="s">
        <v>19</v>
      </c>
      <c r="M8" s="51"/>
      <c r="N8" s="51"/>
      <c r="O8" s="53" t="str">
        <f t="array" ref="O8">INDEX('Packaging Standards'!B$2:B$38,MATCH(TRUE,ISNUMBER(SEARCH('Packaging Standards'!A$2:A$38,Table1[[#This Row],[Packaging]])),0))</f>
        <v>Glassine envelope</v>
      </c>
      <c r="P8" s="54" t="str">
        <f>IF(ISNUMBER(MATCH(Table1[[#This Row],[Indicated Compounds]],Table2[Diluants],0))=TRUE,Table1[[#This Row],[Indicated Compounds]],"")</f>
        <v>Quinine</v>
      </c>
      <c r="Q8" s="54" t="str">
        <f>IF(ISBLANK(Table1[[#This Row],[Indicated Compounds]])=TRUE,"",IF(ISNUMBER(MATCH(Table1[[#This Row],[Indicated Compounds]],Table2[Diluants],0))=FALSE,Table1[[#This Row],[Indicated Compounds]],""))</f>
        <v/>
      </c>
      <c r="R8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8" s="55" t="str">
        <f>VLOOKUP(Table1[[#This Row],[Invoice + Item]],IDs!A:B,2,FALSE)</f>
        <v>Tramadol,Fentanyl,Heroin</v>
      </c>
      <c r="T8" s="56" t="str">
        <f>VLOOKUP(Table1[[#This Row],[Invoice + Item]],INDs!A:B,2,FALSE)</f>
        <v>Despropionyl Fluorofentanyl,Fluorobutyrylfentanyl/Fluoroisobutyrylfentanyl</v>
      </c>
      <c r="U8" s="56" t="str">
        <f>VLOOKUP(Table1[[#This Row],[Invoice + Item]],Ds!A:B,2,FALSE)</f>
        <v>Caffeine,Quinine</v>
      </c>
      <c r="V8" s="56" t="str">
        <f>VLOOKUP(Table1[[#This Row],[Invoice + Item]],FENT!A:B,2,FALSE)</f>
        <v>Fentanyl,Despropionyl Fluorofentanyl,Fluorobutyrylfentanyl/Fluoroisobutyrylfentanyl</v>
      </c>
      <c r="W8" s="57" t="str">
        <f>VLOOKUP(Table1[[#This Row],[Invoice + Item]],FED!A:B,2,FALSE)</f>
        <v/>
      </c>
      <c r="X8" s="53" t="str">
        <f>VLOOKUP(Table1[[#This Row],[Invoice + Item]],FIS!A:B,2,FALSE)</f>
        <v>Methoxyacetyl fentanyl</v>
      </c>
      <c r="Y8" s="53" t="str">
        <f>MyConcat(Table1[[#This Row],[ID Mixture]:[D Mixture]])</f>
        <v>Tramadol,Fentanyl,Heroin,Despropionyl Fluorofentanyl,Fluorobutyrylfentanyl/Fluoroisobutyrylfentanyl,Caffeine,Quinine</v>
      </c>
      <c r="Z8" s="53" t="str">
        <f>MyConcat(Table1[[#This Row],[ID Mixture]:[IND Mixture]])</f>
        <v>Tramadol,Fentanyl,Heroin,Despropionyl Fluorofentanyl,Fluorobutyrylfentanyl/Fluoroisobutyrylfentanyl</v>
      </c>
      <c r="AA8" s="56" t="str">
        <f>IF(ISNUMBER(SEARCH(",",Table1[ID Mixture]))=TRUE, "TRUE", "FALSE")</f>
        <v>TRUE</v>
      </c>
      <c r="AB8" s="56" t="str">
        <f>IF(ISNUMBER(SEARCH(",",Table1[IND Mixture]))=TRUE, "TRUE", "FALSE")</f>
        <v>TRUE</v>
      </c>
      <c r="AC8" s="56" t="str">
        <f>IF(ISNUMBER(SEARCH(",",Table1[D Mixture]))=TRUE, "TRUE", "FALSE")</f>
        <v>TRUE</v>
      </c>
      <c r="AD8" s="56" t="str">
        <f>IF(COUNTIF(Table1[[#This Row],[ID Mixture]:[IND Mixture]],"*fent*")&gt;0,"TRUE","FALSE")</f>
        <v>TRUE</v>
      </c>
      <c r="AE8" s="56" t="str">
        <f>IF(COUNTIF(Table1[[#This Row],[ID Mixture]:[IND Mixture]],"*cocaine*")&gt;0,"TRUE","FALSE")</f>
        <v>FALSE</v>
      </c>
      <c r="AF8" s="56" t="str">
        <f>IF(ISNUMBER(SEARCH("residue",Table1[Description]))=TRUE, "TRUE", "FALSE")</f>
        <v>FALSE</v>
      </c>
    </row>
    <row r="9" spans="1:32" x14ac:dyDescent="0.2">
      <c r="A9" s="58" t="str">
        <f>Table1[[#This Row],[Invoice '#]]&amp;"-"&amp;Table1[[#This Row],[Item '#]]</f>
        <v>8197-4B</v>
      </c>
      <c r="B9" s="51" t="s">
        <v>260</v>
      </c>
      <c r="C9" s="51" t="s">
        <v>274</v>
      </c>
      <c r="D9" s="51" t="s">
        <v>230</v>
      </c>
      <c r="E9" s="51" t="s">
        <v>222</v>
      </c>
      <c r="F9" s="51" t="s">
        <v>231</v>
      </c>
      <c r="G9" s="51" t="s">
        <v>232</v>
      </c>
      <c r="H9" s="50" t="s">
        <v>225</v>
      </c>
      <c r="I9" s="50" t="s">
        <v>225</v>
      </c>
      <c r="J9" s="50" t="s">
        <v>225</v>
      </c>
      <c r="K9" s="50" t="s">
        <v>20</v>
      </c>
      <c r="L9" s="50" t="s">
        <v>35</v>
      </c>
      <c r="M9" s="51"/>
      <c r="N9" s="51"/>
      <c r="O9" s="53" t="str">
        <f t="array" ref="O9">INDEX('Packaging Standards'!B$2:B$38,MATCH(TRUE,ISNUMBER(SEARCH('Packaging Standards'!A$2:A$38,Table1[[#This Row],[Packaging]])),0))</f>
        <v>Glassine envelope</v>
      </c>
      <c r="P9" s="54" t="str">
        <f>IF(ISNUMBER(MATCH(Table1[[#This Row],[Indicated Compounds]],Table2[Diluants],0))=TRUE,Table1[[#This Row],[Indicated Compounds]],"")</f>
        <v/>
      </c>
      <c r="Q9" s="54" t="str">
        <f>IF(ISBLANK(Table1[[#This Row],[Indicated Compounds]])=TRUE,"",IF(ISNUMBER(MATCH(Table1[[#This Row],[Indicated Compounds]],Table2[Diluants],0))=FALSE,Table1[[#This Row],[Indicated Compounds]],""))</f>
        <v>Despropionyl Fluorofentanyl</v>
      </c>
      <c r="R9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Fentanyl,Despropionyl Fluorofentanyl</v>
      </c>
      <c r="S9" s="55" t="str">
        <f>VLOOKUP(Table1[[#This Row],[Invoice + Item]],IDs!A:B,2,FALSE)</f>
        <v>Tramadol,Fentanyl,Heroin</v>
      </c>
      <c r="T9" s="56" t="str">
        <f>VLOOKUP(Table1[[#This Row],[Invoice + Item]],INDs!A:B,2,FALSE)</f>
        <v>Despropionyl Fluorofentanyl,Fluorobutyrylfentanyl/Fluoroisobutyrylfentanyl</v>
      </c>
      <c r="U9" s="59" t="str">
        <f>VLOOKUP(Table1[[#This Row],[Invoice + Item]],Ds!A:B,2,FALSE)</f>
        <v>Caffeine,Quinine</v>
      </c>
      <c r="V9" s="59" t="str">
        <f>VLOOKUP(Table1[[#This Row],[Invoice + Item]],FENT!A:B,2,FALSE)</f>
        <v>Fentanyl,Despropionyl Fluorofentanyl,Fluorobutyrylfentanyl/Fluoroisobutyrylfentanyl</v>
      </c>
      <c r="W9" s="57" t="str">
        <f>VLOOKUP(Table1[[#This Row],[Invoice + Item]],FED!A:B,2,FALSE)</f>
        <v/>
      </c>
      <c r="X9" s="53" t="str">
        <f>VLOOKUP(Table1[[#This Row],[Invoice + Item]],FIS!A:B,2,FALSE)</f>
        <v>Methoxyacetyl fentanyl</v>
      </c>
      <c r="Y9" s="53" t="str">
        <f>MyConcat(Table1[[#This Row],[ID Mixture]:[D Mixture]])</f>
        <v>Tramadol,Fentanyl,Heroin,Despropionyl Fluorofentanyl,Fluorobutyrylfentanyl/Fluoroisobutyrylfentanyl,Caffeine,Quinine</v>
      </c>
      <c r="Z9" s="53" t="str">
        <f>MyConcat(Table1[[#This Row],[ID Mixture]:[IND Mixture]])</f>
        <v>Tramadol,Fentanyl,Heroin,Despropionyl Fluorofentanyl,Fluorobutyrylfentanyl/Fluoroisobutyrylfentanyl</v>
      </c>
      <c r="AA9" s="56" t="str">
        <f>IF(ISNUMBER(SEARCH(",",Table1[ID Mixture]))=TRUE, "TRUE", "FALSE")</f>
        <v>TRUE</v>
      </c>
      <c r="AB9" s="56" t="str">
        <f>IF(ISNUMBER(SEARCH(",",Table1[IND Mixture]))=TRUE, "TRUE", "FALSE")</f>
        <v>TRUE</v>
      </c>
      <c r="AC9" s="56" t="str">
        <f>IF(ISNUMBER(SEARCH(",",Table1[D Mixture]))=TRUE, "TRUE", "FALSE")</f>
        <v>TRUE</v>
      </c>
      <c r="AD9" s="56" t="str">
        <f>IF(COUNTIF(Table1[[#This Row],[ID Mixture]:[IND Mixture]],"*fent*")&gt;0,"TRUE","FALSE")</f>
        <v>TRUE</v>
      </c>
      <c r="AE9" s="56" t="str">
        <f>IF(COUNTIF(Table1[[#This Row],[ID Mixture]:[IND Mixture]],"*cocaine*")&gt;0,"TRUE","FALSE")</f>
        <v>FALSE</v>
      </c>
      <c r="AF9" s="56" t="str">
        <f>IF(ISNUMBER(SEARCH("residue",Table1[Description]))=TRUE, "TRUE", "FALSE")</f>
        <v>FALSE</v>
      </c>
    </row>
    <row r="10" spans="1:32" x14ac:dyDescent="0.2">
      <c r="A10" s="58" t="str">
        <f>Table1[[#This Row],[Invoice '#]]&amp;"-"&amp;Table1[[#This Row],[Item '#]]</f>
        <v>8197-4B</v>
      </c>
      <c r="B10" s="50" t="s">
        <v>260</v>
      </c>
      <c r="C10" s="50" t="s">
        <v>274</v>
      </c>
      <c r="D10" s="50" t="s">
        <v>230</v>
      </c>
      <c r="E10" s="50" t="s">
        <v>222</v>
      </c>
      <c r="F10" s="50" t="s">
        <v>231</v>
      </c>
      <c r="G10" s="50" t="s">
        <v>232</v>
      </c>
      <c r="H10" s="50" t="s">
        <v>225</v>
      </c>
      <c r="I10" s="50" t="s">
        <v>225</v>
      </c>
      <c r="J10" s="50" t="s">
        <v>225</v>
      </c>
      <c r="K10" s="50" t="s">
        <v>229</v>
      </c>
      <c r="L10" s="50" t="s">
        <v>31</v>
      </c>
      <c r="M10" s="50"/>
      <c r="N10" s="50" t="s">
        <v>234</v>
      </c>
      <c r="O10" s="53" t="str">
        <f t="array" ref="O10">INDEX('Packaging Standards'!B$2:B$38,MATCH(TRUE,ISNUMBER(SEARCH('Packaging Standards'!A$2:A$38,Table1[[#This Row],[Packaging]])),0))</f>
        <v>Glassine envelope</v>
      </c>
      <c r="P10" s="54" t="str">
        <f>IF(ISNUMBER(MATCH(Table1[[#This Row],[Indicated Compounds]],Table2[Diluants],0))=TRUE,Table1[[#This Row],[Indicated Compounds]],"")</f>
        <v/>
      </c>
      <c r="Q10" s="54" t="str">
        <f>IF(ISBLANK(Table1[[#This Row],[Indicated Compounds]])=TRUE,"",IF(ISNUMBER(MATCH(Table1[[#This Row],[Indicated Compounds]],Table2[Diluants],0))=FALSE,Table1[[#This Row],[Indicated Compounds]],""))</f>
        <v>Fluorobutyrylfentanyl/Fluoroisobutyrylfentanyl</v>
      </c>
      <c r="R10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Fluorobutyrylfentanyl/Fluoroisobutyrylfentanyl</v>
      </c>
      <c r="S10" s="55" t="str">
        <f>VLOOKUP(Table1[[#This Row],[Invoice + Item]],IDs!A:B,2,FALSE)</f>
        <v>Tramadol,Fentanyl,Heroin</v>
      </c>
      <c r="T10" s="56" t="str">
        <f>VLOOKUP(Table1[[#This Row],[Invoice + Item]],INDs!A:B,2,FALSE)</f>
        <v>Despropionyl Fluorofentanyl,Fluorobutyrylfentanyl/Fluoroisobutyrylfentanyl</v>
      </c>
      <c r="U10" s="56" t="str">
        <f>VLOOKUP(Table1[[#This Row],[Invoice + Item]],Ds!A:B,2,FALSE)</f>
        <v>Caffeine,Quinine</v>
      </c>
      <c r="V10" s="56" t="str">
        <f>VLOOKUP(Table1[[#This Row],[Invoice + Item]],FENT!A:B,2,FALSE)</f>
        <v>Fentanyl,Despropionyl Fluorofentanyl,Fluorobutyrylfentanyl/Fluoroisobutyrylfentanyl</v>
      </c>
      <c r="W10" s="57" t="str">
        <f>VLOOKUP(Table1[[#This Row],[Invoice + Item]],FED!A:B,2,FALSE)</f>
        <v/>
      </c>
      <c r="X10" s="53" t="str">
        <f>VLOOKUP(Table1[[#This Row],[Invoice + Item]],FIS!A:B,2,FALSE)</f>
        <v>Methoxyacetyl fentanyl</v>
      </c>
      <c r="Y10" s="53" t="str">
        <f>MyConcat(Table1[[#This Row],[ID Mixture]:[D Mixture]])</f>
        <v>Tramadol,Fentanyl,Heroin,Despropionyl Fluorofentanyl,Fluorobutyrylfentanyl/Fluoroisobutyrylfentanyl,Caffeine,Quinine</v>
      </c>
      <c r="Z10" s="53" t="str">
        <f>MyConcat(Table1[[#This Row],[ID Mixture]:[IND Mixture]])</f>
        <v>Tramadol,Fentanyl,Heroin,Despropionyl Fluorofentanyl,Fluorobutyrylfentanyl/Fluoroisobutyrylfentanyl</v>
      </c>
      <c r="AA10" s="56" t="str">
        <f>IF(ISNUMBER(SEARCH(",",Table1[ID Mixture]))=TRUE, "TRUE", "FALSE")</f>
        <v>TRUE</v>
      </c>
      <c r="AB10" s="56" t="str">
        <f>IF(ISNUMBER(SEARCH(",",Table1[IND Mixture]))=TRUE, "TRUE", "FALSE")</f>
        <v>TRUE</v>
      </c>
      <c r="AC10" s="56" t="str">
        <f>IF(ISNUMBER(SEARCH(",",Table1[D Mixture]))=TRUE, "TRUE", "FALSE")</f>
        <v>TRUE</v>
      </c>
      <c r="AD10" s="56" t="str">
        <f>IF(COUNTIF(Table1[[#This Row],[ID Mixture]:[IND Mixture]],"*fent*")&gt;0,"TRUE","FALSE")</f>
        <v>TRUE</v>
      </c>
      <c r="AE10" s="56" t="str">
        <f>IF(COUNTIF(Table1[[#This Row],[ID Mixture]:[IND Mixture]],"*cocaine*")&gt;0,"TRUE","FALSE")</f>
        <v>FALSE</v>
      </c>
      <c r="AF10" s="56" t="str">
        <f>IF(ISNUMBER(SEARCH("residue",Table1[Description]))=TRUE, "TRUE", "FALSE")</f>
        <v>FALSE</v>
      </c>
    </row>
    <row r="11" spans="1:32" x14ac:dyDescent="0.2">
      <c r="A11" s="58" t="str">
        <f>Table1[[#This Row],[Invoice '#]]&amp;"-"&amp;Table1[[#This Row],[Item '#]]</f>
        <v>8199-1</v>
      </c>
      <c r="B11" s="51" t="s">
        <v>261</v>
      </c>
      <c r="C11" s="51" t="s">
        <v>274</v>
      </c>
      <c r="D11" s="51" t="s">
        <v>222</v>
      </c>
      <c r="E11" s="51" t="s">
        <v>222</v>
      </c>
      <c r="F11" s="51" t="s">
        <v>237</v>
      </c>
      <c r="G11" s="51" t="s">
        <v>224</v>
      </c>
      <c r="H11" s="50" t="s">
        <v>225</v>
      </c>
      <c r="I11" s="50" t="s">
        <v>225</v>
      </c>
      <c r="J11" s="50" t="s">
        <v>225</v>
      </c>
      <c r="K11" s="50" t="s">
        <v>229</v>
      </c>
      <c r="L11" s="51"/>
      <c r="M11" s="51"/>
      <c r="N11" s="51"/>
      <c r="O11" s="53" t="str">
        <f t="array" ref="O11">INDEX('Packaging Standards'!B$2:B$38,MATCH(TRUE,ISNUMBER(SEARCH('Packaging Standards'!A$2:A$38,Table1[[#This Row],[Packaging]])),0))</f>
        <v>Spoon</v>
      </c>
      <c r="P11" s="54" t="str">
        <f>IF(ISNUMBER(MATCH(Table1[[#This Row],[Indicated Compounds]],Table2[Diluants],0))=TRUE,Table1[[#This Row],[Indicated Compounds]],"")</f>
        <v/>
      </c>
      <c r="Q11" s="54" t="str">
        <f>IF(ISBLANK(Table1[[#This Row],[Indicated Compounds]])=TRUE,"",IF(ISNUMBER(MATCH(Table1[[#This Row],[Indicated Compounds]],Table2[Diluants],0))=FALSE,Table1[[#This Row],[Indicated Compounds]],""))</f>
        <v/>
      </c>
      <c r="R11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1" s="55" t="str">
        <f>VLOOKUP(Table1[[#This Row],[Invoice + Item]],IDs!A:B,2,FALSE)</f>
        <v>Heroin,Fentanyl</v>
      </c>
      <c r="T11" s="56" t="str">
        <f>VLOOKUP(Table1[[#This Row],[Invoice + Item]],INDs!A:B,2,FALSE)</f>
        <v/>
      </c>
      <c r="U11" s="56" t="str">
        <f>VLOOKUP(Table1[[#This Row],[Invoice + Item]],Ds!A:B,2,FALSE)</f>
        <v>Caffeine</v>
      </c>
      <c r="V11" s="56" t="str">
        <f>VLOOKUP(Table1[[#This Row],[Invoice + Item]],FENT!A:B,2,FALSE)</f>
        <v>Fentanyl</v>
      </c>
      <c r="W11" s="57" t="str">
        <f>VLOOKUP(Table1[[#This Row],[Invoice + Item]],FED!A:B,2,FALSE)</f>
        <v/>
      </c>
      <c r="X11" s="53" t="str">
        <f>VLOOKUP(Table1[[#This Row],[Invoice + Item]],FIS!A:B,2,FALSE)</f>
        <v/>
      </c>
      <c r="Y11" s="53" t="str">
        <f>MyConcat(Table1[[#This Row],[ID Mixture]:[D Mixture]])</f>
        <v>Heroin,Fentanyl,Caffeine</v>
      </c>
      <c r="Z11" s="53" t="str">
        <f>MyConcat(Table1[[#This Row],[ID Mixture]:[IND Mixture]])</f>
        <v>Heroin,Fentanyl</v>
      </c>
      <c r="AA11" s="56" t="str">
        <f>IF(ISNUMBER(SEARCH(",",Table1[ID Mixture]))=TRUE, "TRUE", "FALSE")</f>
        <v>TRUE</v>
      </c>
      <c r="AB11" s="56" t="str">
        <f>IF(ISNUMBER(SEARCH(",",Table1[IND Mixture]))=TRUE, "TRUE", "FALSE")</f>
        <v>FALSE</v>
      </c>
      <c r="AC11" s="56" t="str">
        <f>IF(ISNUMBER(SEARCH(",",Table1[D Mixture]))=TRUE, "TRUE", "FALSE")</f>
        <v>FALSE</v>
      </c>
      <c r="AD11" s="56" t="str">
        <f>IF(COUNTIF(Table1[[#This Row],[ID Mixture]:[IND Mixture]],"*fent*")&gt;0,"TRUE","FALSE")</f>
        <v>TRUE</v>
      </c>
      <c r="AE11" s="56" t="str">
        <f>IF(COUNTIF(Table1[[#This Row],[ID Mixture]:[IND Mixture]],"*cocaine*")&gt;0,"TRUE","FALSE")</f>
        <v>FALSE</v>
      </c>
      <c r="AF11" s="56" t="str">
        <f>IF(ISNUMBER(SEARCH("residue",Table1[Description]))=TRUE, "TRUE", "FALSE")</f>
        <v>TRUE</v>
      </c>
    </row>
    <row r="12" spans="1:32" x14ac:dyDescent="0.2">
      <c r="A12" s="58" t="str">
        <f>Table1[[#This Row],[Invoice '#]]&amp;"-"&amp;Table1[[#This Row],[Item '#]]</f>
        <v>8199-1</v>
      </c>
      <c r="B12" s="50" t="s">
        <v>261</v>
      </c>
      <c r="C12" s="50" t="s">
        <v>274</v>
      </c>
      <c r="D12" s="50" t="s">
        <v>222</v>
      </c>
      <c r="E12" s="50" t="s">
        <v>222</v>
      </c>
      <c r="F12" s="50" t="s">
        <v>237</v>
      </c>
      <c r="G12" s="50" t="s">
        <v>224</v>
      </c>
      <c r="H12" s="50" t="s">
        <v>225</v>
      </c>
      <c r="I12" s="50" t="s">
        <v>225</v>
      </c>
      <c r="J12" s="50" t="s">
        <v>225</v>
      </c>
      <c r="K12" s="50" t="s">
        <v>20</v>
      </c>
      <c r="L12" s="50" t="s">
        <v>22</v>
      </c>
      <c r="M12" s="50"/>
      <c r="N12" s="50"/>
      <c r="O12" s="53" t="str">
        <f t="array" ref="O12">INDEX('Packaging Standards'!B$2:B$38,MATCH(TRUE,ISNUMBER(SEARCH('Packaging Standards'!A$2:A$38,Table1[[#This Row],[Packaging]])),0))</f>
        <v>Spoon</v>
      </c>
      <c r="P12" s="54" t="str">
        <f>IF(ISNUMBER(MATCH(Table1[[#This Row],[Indicated Compounds]],Table2[Diluants],0))=TRUE,Table1[[#This Row],[Indicated Compounds]],"")</f>
        <v>Caffeine</v>
      </c>
      <c r="Q12" s="54" t="str">
        <f>IF(ISBLANK(Table1[[#This Row],[Indicated Compounds]])=TRUE,"",IF(ISNUMBER(MATCH(Table1[[#This Row],[Indicated Compounds]],Table2[Diluants],0))=FALSE,Table1[[#This Row],[Indicated Compounds]],""))</f>
        <v/>
      </c>
      <c r="R12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12" s="55" t="str">
        <f>VLOOKUP(Table1[[#This Row],[Invoice + Item]],IDs!A:B,2,FALSE)</f>
        <v>Heroin,Fentanyl</v>
      </c>
      <c r="T12" s="56" t="str">
        <f>VLOOKUP(Table1[[#This Row],[Invoice + Item]],INDs!A:B,2,FALSE)</f>
        <v/>
      </c>
      <c r="U12" s="56" t="str">
        <f>VLOOKUP(Table1[[#This Row],[Invoice + Item]],Ds!A:B,2,FALSE)</f>
        <v>Caffeine</v>
      </c>
      <c r="V12" s="56" t="str">
        <f>VLOOKUP(Table1[[#This Row],[Invoice + Item]],FENT!A:B,2,FALSE)</f>
        <v>Fentanyl</v>
      </c>
      <c r="W12" s="57" t="str">
        <f>VLOOKUP(Table1[[#This Row],[Invoice + Item]],FED!A:B,2,FALSE)</f>
        <v/>
      </c>
      <c r="X12" s="53" t="str">
        <f>VLOOKUP(Table1[[#This Row],[Invoice + Item]],FIS!A:B,2,FALSE)</f>
        <v/>
      </c>
      <c r="Y12" s="53" t="str">
        <f>MyConcat(Table1[[#This Row],[ID Mixture]:[D Mixture]])</f>
        <v>Heroin,Fentanyl,Caffeine</v>
      </c>
      <c r="Z12" s="53" t="str">
        <f>MyConcat(Table1[[#This Row],[ID Mixture]:[IND Mixture]])</f>
        <v>Heroin,Fentanyl</v>
      </c>
      <c r="AA12" s="56" t="str">
        <f>IF(ISNUMBER(SEARCH(",",Table1[ID Mixture]))=TRUE, "TRUE", "FALSE")</f>
        <v>TRUE</v>
      </c>
      <c r="AB12" s="56" t="str">
        <f>IF(ISNUMBER(SEARCH(",",Table1[IND Mixture]))=TRUE, "TRUE", "FALSE")</f>
        <v>FALSE</v>
      </c>
      <c r="AC12" s="56" t="str">
        <f>IF(ISNUMBER(SEARCH(",",Table1[D Mixture]))=TRUE, "TRUE", "FALSE")</f>
        <v>FALSE</v>
      </c>
      <c r="AD12" s="56" t="str">
        <f>IF(COUNTIF(Table1[[#This Row],[ID Mixture]:[IND Mixture]],"*fent*")&gt;0,"TRUE","FALSE")</f>
        <v>TRUE</v>
      </c>
      <c r="AE12" s="56" t="str">
        <f>IF(COUNTIF(Table1[[#This Row],[ID Mixture]:[IND Mixture]],"*cocaine*")&gt;0,"TRUE","FALSE")</f>
        <v>FALSE</v>
      </c>
      <c r="AF12" s="56" t="str">
        <f>IF(ISNUMBER(SEARCH("residue",Table1[Description]))=TRUE, "TRUE", "FALSE")</f>
        <v>TRUE</v>
      </c>
    </row>
    <row r="13" spans="1:32" x14ac:dyDescent="0.2">
      <c r="A13" s="58" t="str">
        <f>Table1[[#This Row],[Invoice '#]]&amp;"-"&amp;Table1[[#This Row],[Item '#]]</f>
        <v>8199-3A</v>
      </c>
      <c r="B13" s="50" t="s">
        <v>261</v>
      </c>
      <c r="C13" s="50" t="s">
        <v>274</v>
      </c>
      <c r="D13" s="50" t="s">
        <v>235</v>
      </c>
      <c r="E13" s="50" t="s">
        <v>222</v>
      </c>
      <c r="F13" s="50" t="s">
        <v>223</v>
      </c>
      <c r="G13" s="50" t="s">
        <v>224</v>
      </c>
      <c r="H13" s="50" t="s">
        <v>225</v>
      </c>
      <c r="I13" s="50" t="s">
        <v>225</v>
      </c>
      <c r="J13" s="50" t="s">
        <v>225</v>
      </c>
      <c r="K13" s="50" t="s">
        <v>236</v>
      </c>
      <c r="L13" s="50"/>
      <c r="M13" s="50"/>
      <c r="N13" s="50"/>
      <c r="O13" s="53" t="str">
        <f t="array" ref="O13">INDEX('Packaging Standards'!B$2:B$38,MATCH(TRUE,ISNUMBER(SEARCH('Packaging Standards'!A$2:A$38,Table1[[#This Row],[Packaging]])),0))</f>
        <v>Pipe</v>
      </c>
      <c r="P13" s="54" t="str">
        <f>IF(ISNUMBER(MATCH(Table1[[#This Row],[Indicated Compounds]],Table2[Diluants],0))=TRUE,Table1[[#This Row],[Indicated Compounds]],"")</f>
        <v/>
      </c>
      <c r="Q13" s="54" t="str">
        <f>IF(ISBLANK(Table1[[#This Row],[Indicated Compounds]])=TRUE,"",IF(ISNUMBER(MATCH(Table1[[#This Row],[Indicated Compounds]],Table2[Diluants],0))=FALSE,Table1[[#This Row],[Indicated Compounds]],""))</f>
        <v/>
      </c>
      <c r="R13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3" s="55" t="str">
        <f>VLOOKUP(Table1[[#This Row],[Invoice + Item]],IDs!A:B,2,FALSE)</f>
        <v>Cocaine</v>
      </c>
      <c r="T13" s="56" t="str">
        <f>VLOOKUP(Table1[[#This Row],[Invoice + Item]],INDs!A:B,2,FALSE)</f>
        <v/>
      </c>
      <c r="U13" s="56" t="str">
        <f>VLOOKUP(Table1[[#This Row],[Invoice + Item]],Ds!A:B,2,FALSE)</f>
        <v>Caffeine</v>
      </c>
      <c r="V13" s="56" t="str">
        <f>VLOOKUP(Table1[[#This Row],[Invoice + Item]],FENT!A:B,2,FALSE)</f>
        <v/>
      </c>
      <c r="W13" s="57" t="str">
        <f>VLOOKUP(Table1[[#This Row],[Invoice + Item]],FED!A:B,2,FALSE)</f>
        <v/>
      </c>
      <c r="X13" s="53" t="str">
        <f>VLOOKUP(Table1[[#This Row],[Invoice + Item]],FIS!A:B,2,FALSE)</f>
        <v/>
      </c>
      <c r="Y13" s="53" t="str">
        <f>MyConcat(Table1[[#This Row],[ID Mixture]:[D Mixture]])</f>
        <v>Cocaine,Caffeine</v>
      </c>
      <c r="Z13" s="53" t="str">
        <f>MyConcat(Table1[[#This Row],[ID Mixture]:[IND Mixture]])</f>
        <v>Cocaine</v>
      </c>
      <c r="AA13" s="56" t="str">
        <f>IF(ISNUMBER(SEARCH(",",Table1[ID Mixture]))=TRUE, "TRUE", "FALSE")</f>
        <v>FALSE</v>
      </c>
      <c r="AB13" s="56" t="str">
        <f>IF(ISNUMBER(SEARCH(",",Table1[IND Mixture]))=TRUE, "TRUE", "FALSE")</f>
        <v>FALSE</v>
      </c>
      <c r="AC13" s="56" t="str">
        <f>IF(ISNUMBER(SEARCH(",",Table1[D Mixture]))=TRUE, "TRUE", "FALSE")</f>
        <v>FALSE</v>
      </c>
      <c r="AD13" s="56" t="str">
        <f>IF(COUNTIF(Table1[[#This Row],[ID Mixture]:[IND Mixture]],"*fent*")&gt;0,"TRUE","FALSE")</f>
        <v>FALSE</v>
      </c>
      <c r="AE13" s="56" t="str">
        <f>IF(COUNTIF(Table1[[#This Row],[ID Mixture]:[IND Mixture]],"*cocaine*")&gt;0,"TRUE","FALSE")</f>
        <v>TRUE</v>
      </c>
      <c r="AF13" s="56" t="str">
        <f>IF(ISNUMBER(SEARCH("residue",Table1[Description]))=TRUE, "TRUE", "FALSE")</f>
        <v>TRUE</v>
      </c>
    </row>
    <row r="14" spans="1:32" x14ac:dyDescent="0.2">
      <c r="A14" s="58" t="str">
        <f>Table1[[#This Row],[Invoice '#]]&amp;"-"&amp;Table1[[#This Row],[Item '#]]</f>
        <v>8199-3A</v>
      </c>
      <c r="B14" s="51" t="s">
        <v>261</v>
      </c>
      <c r="C14" s="51" t="s">
        <v>274</v>
      </c>
      <c r="D14" s="51" t="s">
        <v>235</v>
      </c>
      <c r="E14" s="51" t="s">
        <v>222</v>
      </c>
      <c r="F14" s="51" t="s">
        <v>223</v>
      </c>
      <c r="G14" s="51" t="s">
        <v>224</v>
      </c>
      <c r="H14" s="50" t="s">
        <v>225</v>
      </c>
      <c r="I14" s="50" t="s">
        <v>225</v>
      </c>
      <c r="J14" s="50" t="s">
        <v>225</v>
      </c>
      <c r="K14" s="51"/>
      <c r="L14" s="50" t="s">
        <v>22</v>
      </c>
      <c r="M14" s="51"/>
      <c r="N14" s="51"/>
      <c r="O14" s="53" t="str">
        <f t="array" ref="O14">INDEX('Packaging Standards'!B$2:B$38,MATCH(TRUE,ISNUMBER(SEARCH('Packaging Standards'!A$2:A$38,Table1[[#This Row],[Packaging]])),0))</f>
        <v>Pipe</v>
      </c>
      <c r="P14" s="54" t="str">
        <f>IF(ISNUMBER(MATCH(Table1[[#This Row],[Indicated Compounds]],Table2[Diluants],0))=TRUE,Table1[[#This Row],[Indicated Compounds]],"")</f>
        <v>Caffeine</v>
      </c>
      <c r="Q14" s="54" t="str">
        <f>IF(ISBLANK(Table1[[#This Row],[Indicated Compounds]])=TRUE,"",IF(ISNUMBER(MATCH(Table1[[#This Row],[Indicated Compounds]],Table2[Diluants],0))=FALSE,Table1[[#This Row],[Indicated Compounds]],""))</f>
        <v/>
      </c>
      <c r="R14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4" s="55" t="str">
        <f>VLOOKUP(Table1[[#This Row],[Invoice + Item]],IDs!A:B,2,FALSE)</f>
        <v>Cocaine</v>
      </c>
      <c r="T14" s="56" t="str">
        <f>VLOOKUP(Table1[[#This Row],[Invoice + Item]],INDs!A:B,2,FALSE)</f>
        <v/>
      </c>
      <c r="U14" s="56" t="str">
        <f>VLOOKUP(Table1[[#This Row],[Invoice + Item]],Ds!A:B,2,FALSE)</f>
        <v>Caffeine</v>
      </c>
      <c r="V14" s="56" t="str">
        <f>VLOOKUP(Table1[[#This Row],[Invoice + Item]],FENT!A:B,2,FALSE)</f>
        <v/>
      </c>
      <c r="W14" s="57" t="str">
        <f>VLOOKUP(Table1[[#This Row],[Invoice + Item]],FED!A:B,2,FALSE)</f>
        <v/>
      </c>
      <c r="X14" s="53" t="str">
        <f>VLOOKUP(Table1[[#This Row],[Invoice + Item]],FIS!A:B,2,FALSE)</f>
        <v/>
      </c>
      <c r="Y14" s="53" t="str">
        <f>MyConcat(Table1[[#This Row],[ID Mixture]:[D Mixture]])</f>
        <v>Cocaine,Caffeine</v>
      </c>
      <c r="Z14" s="53" t="str">
        <f>MyConcat(Table1[[#This Row],[ID Mixture]:[IND Mixture]])</f>
        <v>Cocaine</v>
      </c>
      <c r="AA14" s="56" t="str">
        <f>IF(ISNUMBER(SEARCH(",",Table1[ID Mixture]))=TRUE, "TRUE", "FALSE")</f>
        <v>FALSE</v>
      </c>
      <c r="AB14" s="56" t="str">
        <f>IF(ISNUMBER(SEARCH(",",Table1[IND Mixture]))=TRUE, "TRUE", "FALSE")</f>
        <v>FALSE</v>
      </c>
      <c r="AC14" s="56" t="str">
        <f>IF(ISNUMBER(SEARCH(",",Table1[D Mixture]))=TRUE, "TRUE", "FALSE")</f>
        <v>FALSE</v>
      </c>
      <c r="AD14" s="56" t="str">
        <f>IF(COUNTIF(Table1[[#This Row],[ID Mixture]:[IND Mixture]],"*fent*")&gt;0,"TRUE","FALSE")</f>
        <v>FALSE</v>
      </c>
      <c r="AE14" s="56" t="str">
        <f>IF(COUNTIF(Table1[[#This Row],[ID Mixture]:[IND Mixture]],"*cocaine*")&gt;0,"TRUE","FALSE")</f>
        <v>TRUE</v>
      </c>
      <c r="AF14" s="56" t="str">
        <f>IF(ISNUMBER(SEARCH("residue",Table1[Description]))=TRUE, "TRUE", "FALSE")</f>
        <v>TRUE</v>
      </c>
    </row>
    <row r="15" spans="1:32" x14ac:dyDescent="0.2">
      <c r="A15" s="58" t="str">
        <f>Table1[[#This Row],[Invoice '#]]&amp;"-"&amp;Table1[[#This Row],[Item '#]]</f>
        <v>9562-1A</v>
      </c>
      <c r="B15" s="51" t="s">
        <v>262</v>
      </c>
      <c r="C15" s="51" t="s">
        <v>275</v>
      </c>
      <c r="D15" s="51" t="s">
        <v>238</v>
      </c>
      <c r="E15" s="51" t="s">
        <v>222</v>
      </c>
      <c r="F15" s="51" t="s">
        <v>231</v>
      </c>
      <c r="G15" s="51" t="s">
        <v>232</v>
      </c>
      <c r="H15" s="50" t="s">
        <v>225</v>
      </c>
      <c r="I15" s="50" t="s">
        <v>225</v>
      </c>
      <c r="J15" s="50" t="s">
        <v>225</v>
      </c>
      <c r="K15" s="51"/>
      <c r="L15" s="50" t="s">
        <v>22</v>
      </c>
      <c r="M15" s="51"/>
      <c r="N15" s="51"/>
      <c r="O15" s="53" t="str">
        <f t="array" ref="O15">INDEX('Packaging Standards'!B$2:B$38,MATCH(TRUE,ISNUMBER(SEARCH('Packaging Standards'!A$2:A$38,Table1[[#This Row],[Packaging]])),0))</f>
        <v>Glassine envelope</v>
      </c>
      <c r="P15" s="54" t="str">
        <f>IF(ISNUMBER(MATCH(Table1[[#This Row],[Indicated Compounds]],Table2[Diluants],0))=TRUE,Table1[[#This Row],[Indicated Compounds]],"")</f>
        <v>Caffeine</v>
      </c>
      <c r="Q15" s="54" t="str">
        <f>IF(ISBLANK(Table1[[#This Row],[Indicated Compounds]])=TRUE,"",IF(ISNUMBER(MATCH(Table1[[#This Row],[Indicated Compounds]],Table2[Diluants],0))=FALSE,Table1[[#This Row],[Indicated Compounds]],""))</f>
        <v/>
      </c>
      <c r="R15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5" s="55" t="str">
        <f>VLOOKUP(Table1[[#This Row],[Invoice + Item]],IDs!A:B,2,FALSE)</f>
        <v>Heroin,Fentanyl</v>
      </c>
      <c r="T15" s="56" t="str">
        <f>VLOOKUP(Table1[[#This Row],[Invoice + Item]],INDs!A:B,2,FALSE)</f>
        <v/>
      </c>
      <c r="U15" s="56" t="str">
        <f>VLOOKUP(Table1[[#This Row],[Invoice + Item]],Ds!A:B,2,FALSE)</f>
        <v>Caffeine,Papaverine,Procaine,Noscapine</v>
      </c>
      <c r="V15" s="56" t="str">
        <f>VLOOKUP(Table1[[#This Row],[Invoice + Item]],FENT!A:B,2,FALSE)</f>
        <v>Fentanyl</v>
      </c>
      <c r="W15" s="57" t="str">
        <f>VLOOKUP(Table1[[#This Row],[Invoice + Item]],FED!A:B,2,FALSE)</f>
        <v/>
      </c>
      <c r="X15" s="53" t="str">
        <f>VLOOKUP(Table1[[#This Row],[Invoice + Item]],FIS!A:B,2,FALSE)</f>
        <v/>
      </c>
      <c r="Y15" s="53" t="str">
        <f>MyConcat(Table1[[#This Row],[ID Mixture]:[D Mixture]])</f>
        <v>Heroin,Fentanyl,Caffeine,Papaverine,Procaine,Noscapine</v>
      </c>
      <c r="Z15" s="53" t="str">
        <f>MyConcat(Table1[[#This Row],[ID Mixture]:[IND Mixture]])</f>
        <v>Heroin,Fentanyl</v>
      </c>
      <c r="AA15" s="56" t="str">
        <f>IF(ISNUMBER(SEARCH(",",Table1[ID Mixture]))=TRUE, "TRUE", "FALSE")</f>
        <v>TRUE</v>
      </c>
      <c r="AB15" s="56" t="str">
        <f>IF(ISNUMBER(SEARCH(",",Table1[IND Mixture]))=TRUE, "TRUE", "FALSE")</f>
        <v>FALSE</v>
      </c>
      <c r="AC15" s="56" t="str">
        <f>IF(ISNUMBER(SEARCH(",",Table1[D Mixture]))=TRUE, "TRUE", "FALSE")</f>
        <v>TRUE</v>
      </c>
      <c r="AD15" s="56" t="str">
        <f>IF(COUNTIF(Table1[[#This Row],[ID Mixture]:[IND Mixture]],"*fent*")&gt;0,"TRUE","FALSE")</f>
        <v>TRUE</v>
      </c>
      <c r="AE15" s="56" t="str">
        <f>IF(COUNTIF(Table1[[#This Row],[ID Mixture]:[IND Mixture]],"*cocaine*")&gt;0,"TRUE","FALSE")</f>
        <v>FALSE</v>
      </c>
      <c r="AF15" s="56" t="str">
        <f>IF(ISNUMBER(SEARCH("residue",Table1[Description]))=TRUE, "TRUE", "FALSE")</f>
        <v>FALSE</v>
      </c>
    </row>
    <row r="16" spans="1:32" x14ac:dyDescent="0.2">
      <c r="A16" s="58" t="str">
        <f>Table1[[#This Row],[Invoice '#]]&amp;"-"&amp;Table1[[#This Row],[Item '#]]</f>
        <v>9562-1A</v>
      </c>
      <c r="B16" s="51" t="s">
        <v>262</v>
      </c>
      <c r="C16" s="51" t="s">
        <v>275</v>
      </c>
      <c r="D16" s="51" t="s">
        <v>238</v>
      </c>
      <c r="E16" s="51" t="s">
        <v>222</v>
      </c>
      <c r="F16" s="51" t="s">
        <v>231</v>
      </c>
      <c r="G16" s="51" t="s">
        <v>232</v>
      </c>
      <c r="H16" s="50" t="s">
        <v>225</v>
      </c>
      <c r="I16" s="50" t="s">
        <v>225</v>
      </c>
      <c r="J16" s="50" t="s">
        <v>225</v>
      </c>
      <c r="K16" s="51"/>
      <c r="L16" s="50" t="s">
        <v>34</v>
      </c>
      <c r="M16" s="51"/>
      <c r="N16" s="51"/>
      <c r="O16" s="53" t="str">
        <f t="array" ref="O16">INDEX('Packaging Standards'!B$2:B$38,MATCH(TRUE,ISNUMBER(SEARCH('Packaging Standards'!A$2:A$38,Table1[[#This Row],[Packaging]])),0))</f>
        <v>Glassine envelope</v>
      </c>
      <c r="P16" s="54" t="str">
        <f>IF(ISNUMBER(MATCH(Table1[[#This Row],[Indicated Compounds]],Table2[Diluants],0))=TRUE,Table1[[#This Row],[Indicated Compounds]],"")</f>
        <v>Papaverine</v>
      </c>
      <c r="Q16" s="54" t="str">
        <f>IF(ISBLANK(Table1[[#This Row],[Indicated Compounds]])=TRUE,"",IF(ISNUMBER(MATCH(Table1[[#This Row],[Indicated Compounds]],Table2[Diluants],0))=FALSE,Table1[[#This Row],[Indicated Compounds]],""))</f>
        <v/>
      </c>
      <c r="R16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6" s="55" t="str">
        <f>VLOOKUP(Table1[[#This Row],[Invoice + Item]],IDs!A:B,2,FALSE)</f>
        <v>Heroin,Fentanyl</v>
      </c>
      <c r="T16" s="56" t="str">
        <f>VLOOKUP(Table1[[#This Row],[Invoice + Item]],INDs!A:B,2,FALSE)</f>
        <v/>
      </c>
      <c r="U16" s="56" t="str">
        <f>VLOOKUP(Table1[[#This Row],[Invoice + Item]],Ds!A:B,2,FALSE)</f>
        <v>Caffeine,Papaverine,Procaine,Noscapine</v>
      </c>
      <c r="V16" s="56" t="str">
        <f>VLOOKUP(Table1[[#This Row],[Invoice + Item]],FENT!A:B,2,FALSE)</f>
        <v>Fentanyl</v>
      </c>
      <c r="W16" s="57" t="str">
        <f>VLOOKUP(Table1[[#This Row],[Invoice + Item]],FED!A:B,2,FALSE)</f>
        <v/>
      </c>
      <c r="X16" s="53" t="str">
        <f>VLOOKUP(Table1[[#This Row],[Invoice + Item]],FIS!A:B,2,FALSE)</f>
        <v/>
      </c>
      <c r="Y16" s="53" t="str">
        <f>MyConcat(Table1[[#This Row],[ID Mixture]:[D Mixture]])</f>
        <v>Heroin,Fentanyl,Caffeine,Papaverine,Procaine,Noscapine</v>
      </c>
      <c r="Z16" s="53" t="str">
        <f>MyConcat(Table1[[#This Row],[ID Mixture]:[IND Mixture]])</f>
        <v>Heroin,Fentanyl</v>
      </c>
      <c r="AA16" s="56" t="str">
        <f>IF(ISNUMBER(SEARCH(",",Table1[ID Mixture]))=TRUE, "TRUE", "FALSE")</f>
        <v>TRUE</v>
      </c>
      <c r="AB16" s="56" t="str">
        <f>IF(ISNUMBER(SEARCH(",",Table1[IND Mixture]))=TRUE, "TRUE", "FALSE")</f>
        <v>FALSE</v>
      </c>
      <c r="AC16" s="56" t="str">
        <f>IF(ISNUMBER(SEARCH(",",Table1[D Mixture]))=TRUE, "TRUE", "FALSE")</f>
        <v>TRUE</v>
      </c>
      <c r="AD16" s="56" t="str">
        <f>IF(COUNTIF(Table1[[#This Row],[ID Mixture]:[IND Mixture]],"*fent*")&gt;0,"TRUE","FALSE")</f>
        <v>TRUE</v>
      </c>
      <c r="AE16" s="56" t="str">
        <f>IF(COUNTIF(Table1[[#This Row],[ID Mixture]:[IND Mixture]],"*cocaine*")&gt;0,"TRUE","FALSE")</f>
        <v>FALSE</v>
      </c>
      <c r="AF16" s="56" t="str">
        <f>IF(ISNUMBER(SEARCH("residue",Table1[Description]))=TRUE, "TRUE", "FALSE")</f>
        <v>FALSE</v>
      </c>
    </row>
    <row r="17" spans="1:32" x14ac:dyDescent="0.2">
      <c r="A17" s="57" t="str">
        <f>Table1[[#This Row],[Invoice '#]]&amp;"-"&amp;Table1[[#This Row],[Item '#]]</f>
        <v>9562-1A</v>
      </c>
      <c r="B17" s="50" t="s">
        <v>262</v>
      </c>
      <c r="C17" s="50" t="s">
        <v>275</v>
      </c>
      <c r="D17" s="50" t="s">
        <v>238</v>
      </c>
      <c r="E17" s="50" t="s">
        <v>222</v>
      </c>
      <c r="F17" s="50" t="s">
        <v>231</v>
      </c>
      <c r="G17" s="50" t="s">
        <v>232</v>
      </c>
      <c r="H17" s="50" t="s">
        <v>225</v>
      </c>
      <c r="I17" s="50" t="s">
        <v>225</v>
      </c>
      <c r="J17" s="50" t="s">
        <v>225</v>
      </c>
      <c r="K17" s="50" t="s">
        <v>229</v>
      </c>
      <c r="L17" s="50" t="s">
        <v>21</v>
      </c>
      <c r="M17" s="50"/>
      <c r="N17" s="50"/>
      <c r="O17" s="53" t="str">
        <f t="array" ref="O17">INDEX('Packaging Standards'!B$2:B$38,MATCH(TRUE,ISNUMBER(SEARCH('Packaging Standards'!A$2:A$38,Table1[[#This Row],[Packaging]])),0))</f>
        <v>Glassine envelope</v>
      </c>
      <c r="P17" s="54" t="str">
        <f>IF(ISNUMBER(MATCH(Table1[[#This Row],[Indicated Compounds]],Table2[Diluants],0))=TRUE,Table1[[#This Row],[Indicated Compounds]],"")</f>
        <v>Procaine</v>
      </c>
      <c r="Q17" s="54" t="str">
        <f>IF(ISBLANK(Table1[[#This Row],[Indicated Compounds]])=TRUE,"",IF(ISNUMBER(MATCH(Table1[[#This Row],[Indicated Compounds]],Table2[Diluants],0))=FALSE,Table1[[#This Row],[Indicated Compounds]],""))</f>
        <v/>
      </c>
      <c r="R17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7" s="55" t="str">
        <f>VLOOKUP(Table1[[#This Row],[Invoice + Item]],IDs!A:B,2,FALSE)</f>
        <v>Heroin,Fentanyl</v>
      </c>
      <c r="T17" s="56" t="str">
        <f>VLOOKUP(Table1[[#This Row],[Invoice + Item]],INDs!A:B,2,FALSE)</f>
        <v/>
      </c>
      <c r="U17" s="56" t="str">
        <f>VLOOKUP(Table1[[#This Row],[Invoice + Item]],Ds!A:B,2,FALSE)</f>
        <v>Caffeine,Papaverine,Procaine,Noscapine</v>
      </c>
      <c r="V17" s="56" t="str">
        <f>VLOOKUP(Table1[[#This Row],[Invoice + Item]],FENT!A:B,2,FALSE)</f>
        <v>Fentanyl</v>
      </c>
      <c r="W17" s="57" t="str">
        <f>VLOOKUP(Table1[[#This Row],[Invoice + Item]],FED!A:B,2,FALSE)</f>
        <v/>
      </c>
      <c r="X17" s="53" t="str">
        <f>VLOOKUP(Table1[[#This Row],[Invoice + Item]],FIS!A:B,2,FALSE)</f>
        <v/>
      </c>
      <c r="Y17" s="53" t="str">
        <f>MyConcat(Table1[[#This Row],[ID Mixture]:[D Mixture]])</f>
        <v>Heroin,Fentanyl,Caffeine,Papaverine,Procaine,Noscapine</v>
      </c>
      <c r="Z17" s="53" t="str">
        <f>MyConcat(Table1[[#This Row],[ID Mixture]:[IND Mixture]])</f>
        <v>Heroin,Fentanyl</v>
      </c>
      <c r="AA17" s="56" t="str">
        <f>IF(ISNUMBER(SEARCH(",",Table1[ID Mixture]))=TRUE, "TRUE", "FALSE")</f>
        <v>TRUE</v>
      </c>
      <c r="AB17" s="56" t="str">
        <f>IF(ISNUMBER(SEARCH(",",Table1[IND Mixture]))=TRUE, "TRUE", "FALSE")</f>
        <v>FALSE</v>
      </c>
      <c r="AC17" s="56" t="str">
        <f>IF(ISNUMBER(SEARCH(",",Table1[D Mixture]))=TRUE, "TRUE", "FALSE")</f>
        <v>TRUE</v>
      </c>
      <c r="AD17" s="56" t="str">
        <f>IF(COUNTIF(Table1[[#This Row],[ID Mixture]:[IND Mixture]],"*fent*")&gt;0,"TRUE","FALSE")</f>
        <v>TRUE</v>
      </c>
      <c r="AE17" s="56" t="str">
        <f>IF(COUNTIF(Table1[[#This Row],[ID Mixture]:[IND Mixture]],"*cocaine*")&gt;0,"TRUE","FALSE")</f>
        <v>FALSE</v>
      </c>
      <c r="AF17" s="56" t="str">
        <f>IF(ISNUMBER(SEARCH("residue",Table1[Description]))=TRUE, "TRUE", "FALSE")</f>
        <v>FALSE</v>
      </c>
    </row>
    <row r="18" spans="1:32" x14ac:dyDescent="0.2">
      <c r="A18" s="58" t="str">
        <f>Table1[[#This Row],[Invoice '#]]&amp;"-"&amp;Table1[[#This Row],[Item '#]]</f>
        <v>9562-1A</v>
      </c>
      <c r="B18" s="51" t="s">
        <v>262</v>
      </c>
      <c r="C18" s="51" t="s">
        <v>275</v>
      </c>
      <c r="D18" s="51" t="s">
        <v>238</v>
      </c>
      <c r="E18" s="51" t="s">
        <v>222</v>
      </c>
      <c r="F18" s="51" t="s">
        <v>231</v>
      </c>
      <c r="G18" s="51" t="s">
        <v>232</v>
      </c>
      <c r="H18" s="50" t="s">
        <v>225</v>
      </c>
      <c r="I18" s="50" t="s">
        <v>225</v>
      </c>
      <c r="J18" s="50" t="s">
        <v>225</v>
      </c>
      <c r="K18" s="50" t="s">
        <v>20</v>
      </c>
      <c r="L18" s="50" t="s">
        <v>16</v>
      </c>
      <c r="M18" s="51"/>
      <c r="N18" s="51"/>
      <c r="O18" s="53" t="str">
        <f t="array" ref="O18">INDEX('Packaging Standards'!B$2:B$38,MATCH(TRUE,ISNUMBER(SEARCH('Packaging Standards'!A$2:A$38,Table1[[#This Row],[Packaging]])),0))</f>
        <v>Glassine envelope</v>
      </c>
      <c r="P18" s="54" t="str">
        <f>IF(ISNUMBER(MATCH(Table1[[#This Row],[Indicated Compounds]],Table2[Diluants],0))=TRUE,Table1[[#This Row],[Indicated Compounds]],"")</f>
        <v>Noscapine</v>
      </c>
      <c r="Q18" s="54" t="str">
        <f>IF(ISBLANK(Table1[[#This Row],[Indicated Compounds]])=TRUE,"",IF(ISNUMBER(MATCH(Table1[[#This Row],[Indicated Compounds]],Table2[Diluants],0))=FALSE,Table1[[#This Row],[Indicated Compounds]],""))</f>
        <v/>
      </c>
      <c r="R18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18" s="55" t="str">
        <f>VLOOKUP(Table1[[#This Row],[Invoice + Item]],IDs!A:B,2,FALSE)</f>
        <v>Heroin,Fentanyl</v>
      </c>
      <c r="T18" s="56" t="str">
        <f>VLOOKUP(Table1[[#This Row],[Invoice + Item]],INDs!A:B,2,FALSE)</f>
        <v/>
      </c>
      <c r="U18" s="56" t="str">
        <f>VLOOKUP(Table1[[#This Row],[Invoice + Item]],Ds!A:B,2,FALSE)</f>
        <v>Caffeine,Papaverine,Procaine,Noscapine</v>
      </c>
      <c r="V18" s="56" t="str">
        <f>VLOOKUP(Table1[[#This Row],[Invoice + Item]],FENT!A:B,2,FALSE)</f>
        <v>Fentanyl</v>
      </c>
      <c r="W18" s="57" t="str">
        <f>VLOOKUP(Table1[[#This Row],[Invoice + Item]],FED!A:B,2,FALSE)</f>
        <v/>
      </c>
      <c r="X18" s="53" t="str">
        <f>VLOOKUP(Table1[[#This Row],[Invoice + Item]],FIS!A:B,2,FALSE)</f>
        <v/>
      </c>
      <c r="Y18" s="53" t="str">
        <f>MyConcat(Table1[[#This Row],[ID Mixture]:[D Mixture]])</f>
        <v>Heroin,Fentanyl,Caffeine,Papaverine,Procaine,Noscapine</v>
      </c>
      <c r="Z18" s="53" t="str">
        <f>MyConcat(Table1[[#This Row],[ID Mixture]:[IND Mixture]])</f>
        <v>Heroin,Fentanyl</v>
      </c>
      <c r="AA18" s="56" t="str">
        <f>IF(ISNUMBER(SEARCH(",",Table1[ID Mixture]))=TRUE, "TRUE", "FALSE")</f>
        <v>TRUE</v>
      </c>
      <c r="AB18" s="56" t="str">
        <f>IF(ISNUMBER(SEARCH(",",Table1[IND Mixture]))=TRUE, "TRUE", "FALSE")</f>
        <v>FALSE</v>
      </c>
      <c r="AC18" s="56" t="str">
        <f>IF(ISNUMBER(SEARCH(",",Table1[D Mixture]))=TRUE, "TRUE", "FALSE")</f>
        <v>TRUE</v>
      </c>
      <c r="AD18" s="56" t="str">
        <f>IF(COUNTIF(Table1[[#This Row],[ID Mixture]:[IND Mixture]],"*fent*")&gt;0,"TRUE","FALSE")</f>
        <v>TRUE</v>
      </c>
      <c r="AE18" s="56" t="str">
        <f>IF(COUNTIF(Table1[[#This Row],[ID Mixture]:[IND Mixture]],"*cocaine*")&gt;0,"TRUE","FALSE")</f>
        <v>FALSE</v>
      </c>
      <c r="AF18" s="56" t="str">
        <f>IF(ISNUMBER(SEARCH("residue",Table1[Description]))=TRUE, "TRUE", "FALSE")</f>
        <v>FALSE</v>
      </c>
    </row>
    <row r="19" spans="1:32" x14ac:dyDescent="0.2">
      <c r="A19" s="58" t="str">
        <f>Table1[[#This Row],[Invoice '#]]&amp;"-"&amp;Table1[[#This Row],[Item '#]]</f>
        <v>9562-2A</v>
      </c>
      <c r="B19" s="51" t="s">
        <v>262</v>
      </c>
      <c r="C19" s="51" t="s">
        <v>275</v>
      </c>
      <c r="D19" s="51" t="s">
        <v>239</v>
      </c>
      <c r="E19" s="51" t="s">
        <v>222</v>
      </c>
      <c r="F19" s="51" t="s">
        <v>228</v>
      </c>
      <c r="G19" s="51" t="s">
        <v>232</v>
      </c>
      <c r="H19" s="50" t="s">
        <v>225</v>
      </c>
      <c r="I19" s="50" t="s">
        <v>225</v>
      </c>
      <c r="J19" s="50" t="s">
        <v>225</v>
      </c>
      <c r="K19" s="51"/>
      <c r="L19" s="50" t="s">
        <v>22</v>
      </c>
      <c r="M19" s="51"/>
      <c r="N19" s="51"/>
      <c r="O19" s="53" t="str">
        <f t="array" ref="O19">INDEX('Packaging Standards'!B$2:B$38,MATCH(TRUE,ISNUMBER(SEARCH('Packaging Standards'!A$2:A$38,Table1[[#This Row],[Packaging]])),0))</f>
        <v>Glassine envelope</v>
      </c>
      <c r="P19" s="54" t="str">
        <f>IF(ISNUMBER(MATCH(Table1[[#This Row],[Indicated Compounds]],Table2[Diluants],0))=TRUE,Table1[[#This Row],[Indicated Compounds]],"")</f>
        <v>Caffeine</v>
      </c>
      <c r="Q19" s="54" t="str">
        <f>IF(ISBLANK(Table1[[#This Row],[Indicated Compounds]])=TRUE,"",IF(ISNUMBER(MATCH(Table1[[#This Row],[Indicated Compounds]],Table2[Diluants],0))=FALSE,Table1[[#This Row],[Indicated Compounds]],""))</f>
        <v/>
      </c>
      <c r="R19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19" s="55" t="str">
        <f>VLOOKUP(Table1[[#This Row],[Invoice + Item]],IDs!A:B,2,FALSE)</f>
        <v>Heroin,Fentanyl</v>
      </c>
      <c r="T19" s="56" t="str">
        <f>VLOOKUP(Table1[[#This Row],[Invoice + Item]],INDs!A:B,2,FALSE)</f>
        <v/>
      </c>
      <c r="U19" s="56" t="str">
        <f>VLOOKUP(Table1[[#This Row],[Invoice + Item]],Ds!A:B,2,FALSE)</f>
        <v>Caffeine,Papaverine,Procaine,Noscapine</v>
      </c>
      <c r="V19" s="56" t="str">
        <f>VLOOKUP(Table1[[#This Row],[Invoice + Item]],FENT!A:B,2,FALSE)</f>
        <v>Fentanyl</v>
      </c>
      <c r="W19" s="57" t="str">
        <f>VLOOKUP(Table1[[#This Row],[Invoice + Item]],FED!A:B,2,FALSE)</f>
        <v/>
      </c>
      <c r="X19" s="53" t="str">
        <f>VLOOKUP(Table1[[#This Row],[Invoice + Item]],FIS!A:B,2,FALSE)</f>
        <v/>
      </c>
      <c r="Y19" s="53" t="str">
        <f>MyConcat(Table1[[#This Row],[ID Mixture]:[D Mixture]])</f>
        <v>Heroin,Fentanyl,Caffeine,Papaverine,Procaine,Noscapine</v>
      </c>
      <c r="Z19" s="53" t="str">
        <f>MyConcat(Table1[[#This Row],[ID Mixture]:[IND Mixture]])</f>
        <v>Heroin,Fentanyl</v>
      </c>
      <c r="AA19" s="56" t="str">
        <f>IF(ISNUMBER(SEARCH(",",Table1[ID Mixture]))=TRUE, "TRUE", "FALSE")</f>
        <v>TRUE</v>
      </c>
      <c r="AB19" s="56" t="str">
        <f>IF(ISNUMBER(SEARCH(",",Table1[IND Mixture]))=TRUE, "TRUE", "FALSE")</f>
        <v>FALSE</v>
      </c>
      <c r="AC19" s="56" t="str">
        <f>IF(ISNUMBER(SEARCH(",",Table1[D Mixture]))=TRUE, "TRUE", "FALSE")</f>
        <v>TRUE</v>
      </c>
      <c r="AD19" s="56" t="str">
        <f>IF(COUNTIF(Table1[[#This Row],[ID Mixture]:[IND Mixture]],"*fent*")&gt;0,"TRUE","FALSE")</f>
        <v>TRUE</v>
      </c>
      <c r="AE19" s="56" t="str">
        <f>IF(COUNTIF(Table1[[#This Row],[ID Mixture]:[IND Mixture]],"*cocaine*")&gt;0,"TRUE","FALSE")</f>
        <v>FALSE</v>
      </c>
      <c r="AF19" s="56" t="str">
        <f>IF(ISNUMBER(SEARCH("residue",Table1[Description]))=TRUE, "TRUE", "FALSE")</f>
        <v>FALSE</v>
      </c>
    </row>
    <row r="20" spans="1:32" x14ac:dyDescent="0.2">
      <c r="A20" s="58" t="str">
        <f>Table1[[#This Row],[Invoice '#]]&amp;"-"&amp;Table1[[#This Row],[Item '#]]</f>
        <v>9562-2A</v>
      </c>
      <c r="B20" s="51" t="s">
        <v>262</v>
      </c>
      <c r="C20" s="51" t="s">
        <v>275</v>
      </c>
      <c r="D20" s="51" t="s">
        <v>239</v>
      </c>
      <c r="E20" s="51" t="s">
        <v>222</v>
      </c>
      <c r="F20" s="51" t="s">
        <v>228</v>
      </c>
      <c r="G20" s="51" t="s">
        <v>232</v>
      </c>
      <c r="H20" s="50" t="s">
        <v>225</v>
      </c>
      <c r="I20" s="50" t="s">
        <v>225</v>
      </c>
      <c r="J20" s="50" t="s">
        <v>225</v>
      </c>
      <c r="K20" s="51"/>
      <c r="L20" s="50" t="s">
        <v>34</v>
      </c>
      <c r="M20" s="51"/>
      <c r="N20" s="51"/>
      <c r="O20" s="53" t="str">
        <f t="array" ref="O20">INDEX('Packaging Standards'!B$2:B$38,MATCH(TRUE,ISNUMBER(SEARCH('Packaging Standards'!A$2:A$38,Table1[[#This Row],[Packaging]])),0))</f>
        <v>Glassine envelope</v>
      </c>
      <c r="P20" s="54" t="str">
        <f>IF(ISNUMBER(MATCH(Table1[[#This Row],[Indicated Compounds]],Table2[Diluants],0))=TRUE,Table1[[#This Row],[Indicated Compounds]],"")</f>
        <v>Papaverine</v>
      </c>
      <c r="Q20" s="54" t="str">
        <f>IF(ISBLANK(Table1[[#This Row],[Indicated Compounds]])=TRUE,"",IF(ISNUMBER(MATCH(Table1[[#This Row],[Indicated Compounds]],Table2[Diluants],0))=FALSE,Table1[[#This Row],[Indicated Compounds]],""))</f>
        <v/>
      </c>
      <c r="R20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0" s="55" t="str">
        <f>VLOOKUP(Table1[[#This Row],[Invoice + Item]],IDs!A:B,2,FALSE)</f>
        <v>Heroin,Fentanyl</v>
      </c>
      <c r="T20" s="56" t="str">
        <f>VLOOKUP(Table1[[#This Row],[Invoice + Item]],INDs!A:B,2,FALSE)</f>
        <v/>
      </c>
      <c r="U20" s="56" t="str">
        <f>VLOOKUP(Table1[[#This Row],[Invoice + Item]],Ds!A:B,2,FALSE)</f>
        <v>Caffeine,Papaverine,Procaine,Noscapine</v>
      </c>
      <c r="V20" s="56" t="str">
        <f>VLOOKUP(Table1[[#This Row],[Invoice + Item]],FENT!A:B,2,FALSE)</f>
        <v>Fentanyl</v>
      </c>
      <c r="W20" s="57" t="str">
        <f>VLOOKUP(Table1[[#This Row],[Invoice + Item]],FED!A:B,2,FALSE)</f>
        <v/>
      </c>
      <c r="X20" s="53" t="str">
        <f>VLOOKUP(Table1[[#This Row],[Invoice + Item]],FIS!A:B,2,FALSE)</f>
        <v/>
      </c>
      <c r="Y20" s="53" t="str">
        <f>MyConcat(Table1[[#This Row],[ID Mixture]:[D Mixture]])</f>
        <v>Heroin,Fentanyl,Caffeine,Papaverine,Procaine,Noscapine</v>
      </c>
      <c r="Z20" s="53" t="str">
        <f>MyConcat(Table1[[#This Row],[ID Mixture]:[IND Mixture]])</f>
        <v>Heroin,Fentanyl</v>
      </c>
      <c r="AA20" s="56" t="str">
        <f>IF(ISNUMBER(SEARCH(",",Table1[ID Mixture]))=TRUE, "TRUE", "FALSE")</f>
        <v>TRUE</v>
      </c>
      <c r="AB20" s="56" t="str">
        <f>IF(ISNUMBER(SEARCH(",",Table1[IND Mixture]))=TRUE, "TRUE", "FALSE")</f>
        <v>FALSE</v>
      </c>
      <c r="AC20" s="56" t="str">
        <f>IF(ISNUMBER(SEARCH(",",Table1[D Mixture]))=TRUE, "TRUE", "FALSE")</f>
        <v>TRUE</v>
      </c>
      <c r="AD20" s="56" t="str">
        <f>IF(COUNTIF(Table1[[#This Row],[ID Mixture]:[IND Mixture]],"*fent*")&gt;0,"TRUE","FALSE")</f>
        <v>TRUE</v>
      </c>
      <c r="AE20" s="56" t="str">
        <f>IF(COUNTIF(Table1[[#This Row],[ID Mixture]:[IND Mixture]],"*cocaine*")&gt;0,"TRUE","FALSE")</f>
        <v>FALSE</v>
      </c>
      <c r="AF20" s="56" t="str">
        <f>IF(ISNUMBER(SEARCH("residue",Table1[Description]))=TRUE, "TRUE", "FALSE")</f>
        <v>FALSE</v>
      </c>
    </row>
    <row r="21" spans="1:32" x14ac:dyDescent="0.2">
      <c r="A21" s="58" t="str">
        <f>Table1[[#This Row],[Invoice '#]]&amp;"-"&amp;Table1[[#This Row],[Item '#]]</f>
        <v>9562-2A</v>
      </c>
      <c r="B21" s="50" t="s">
        <v>262</v>
      </c>
      <c r="C21" s="50" t="s">
        <v>275</v>
      </c>
      <c r="D21" s="50" t="s">
        <v>239</v>
      </c>
      <c r="E21" s="50" t="s">
        <v>222</v>
      </c>
      <c r="F21" s="50" t="s">
        <v>228</v>
      </c>
      <c r="G21" s="50" t="s">
        <v>232</v>
      </c>
      <c r="H21" s="50" t="s">
        <v>225</v>
      </c>
      <c r="I21" s="50" t="s">
        <v>225</v>
      </c>
      <c r="J21" s="50" t="s">
        <v>225</v>
      </c>
      <c r="K21" s="50" t="s">
        <v>229</v>
      </c>
      <c r="L21" s="50" t="s">
        <v>21</v>
      </c>
      <c r="M21" s="50"/>
      <c r="N21" s="50"/>
      <c r="O21" s="53" t="str">
        <f t="array" ref="O21">INDEX('Packaging Standards'!B$2:B$38,MATCH(TRUE,ISNUMBER(SEARCH('Packaging Standards'!A$2:A$38,Table1[[#This Row],[Packaging]])),0))</f>
        <v>Glassine envelope</v>
      </c>
      <c r="P21" s="54" t="str">
        <f>IF(ISNUMBER(MATCH(Table1[[#This Row],[Indicated Compounds]],Table2[Diluants],0))=TRUE,Table1[[#This Row],[Indicated Compounds]],"")</f>
        <v>Procaine</v>
      </c>
      <c r="Q21" s="54" t="str">
        <f>IF(ISBLANK(Table1[[#This Row],[Indicated Compounds]])=TRUE,"",IF(ISNUMBER(MATCH(Table1[[#This Row],[Indicated Compounds]],Table2[Diluants],0))=FALSE,Table1[[#This Row],[Indicated Compounds]],""))</f>
        <v/>
      </c>
      <c r="R21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1" s="55" t="str">
        <f>VLOOKUP(Table1[[#This Row],[Invoice + Item]],IDs!A:B,2,FALSE)</f>
        <v>Heroin,Fentanyl</v>
      </c>
      <c r="T21" s="56" t="str">
        <f>VLOOKUP(Table1[[#This Row],[Invoice + Item]],INDs!A:B,2,FALSE)</f>
        <v/>
      </c>
      <c r="U21" s="56" t="str">
        <f>VLOOKUP(Table1[[#This Row],[Invoice + Item]],Ds!A:B,2,FALSE)</f>
        <v>Caffeine,Papaverine,Procaine,Noscapine</v>
      </c>
      <c r="V21" s="56" t="str">
        <f>VLOOKUP(Table1[[#This Row],[Invoice + Item]],FENT!A:B,2,FALSE)</f>
        <v>Fentanyl</v>
      </c>
      <c r="W21" s="57" t="str">
        <f>VLOOKUP(Table1[[#This Row],[Invoice + Item]],FED!A:B,2,FALSE)</f>
        <v/>
      </c>
      <c r="X21" s="53" t="str">
        <f>VLOOKUP(Table1[[#This Row],[Invoice + Item]],FIS!A:B,2,FALSE)</f>
        <v/>
      </c>
      <c r="Y21" s="53" t="str">
        <f>MyConcat(Table1[[#This Row],[ID Mixture]:[D Mixture]])</f>
        <v>Heroin,Fentanyl,Caffeine,Papaverine,Procaine,Noscapine</v>
      </c>
      <c r="Z21" s="53" t="str">
        <f>MyConcat(Table1[[#This Row],[ID Mixture]:[IND Mixture]])</f>
        <v>Heroin,Fentanyl</v>
      </c>
      <c r="AA21" s="56" t="str">
        <f>IF(ISNUMBER(SEARCH(",",Table1[ID Mixture]))=TRUE, "TRUE", "FALSE")</f>
        <v>TRUE</v>
      </c>
      <c r="AB21" s="56" t="str">
        <f>IF(ISNUMBER(SEARCH(",",Table1[IND Mixture]))=TRUE, "TRUE", "FALSE")</f>
        <v>FALSE</v>
      </c>
      <c r="AC21" s="56" t="str">
        <f>IF(ISNUMBER(SEARCH(",",Table1[D Mixture]))=TRUE, "TRUE", "FALSE")</f>
        <v>TRUE</v>
      </c>
      <c r="AD21" s="56" t="str">
        <f>IF(COUNTIF(Table1[[#This Row],[ID Mixture]:[IND Mixture]],"*fent*")&gt;0,"TRUE","FALSE")</f>
        <v>TRUE</v>
      </c>
      <c r="AE21" s="56" t="str">
        <f>IF(COUNTIF(Table1[[#This Row],[ID Mixture]:[IND Mixture]],"*cocaine*")&gt;0,"TRUE","FALSE")</f>
        <v>FALSE</v>
      </c>
      <c r="AF21" s="56" t="str">
        <f>IF(ISNUMBER(SEARCH("residue",Table1[Description]))=TRUE, "TRUE", "FALSE")</f>
        <v>FALSE</v>
      </c>
    </row>
    <row r="22" spans="1:32" x14ac:dyDescent="0.2">
      <c r="A22" s="58" t="str">
        <f>Table1[[#This Row],[Invoice '#]]&amp;"-"&amp;Table1[[#This Row],[Item '#]]</f>
        <v>9562-2A</v>
      </c>
      <c r="B22" s="51" t="s">
        <v>262</v>
      </c>
      <c r="C22" s="51" t="s">
        <v>275</v>
      </c>
      <c r="D22" s="51" t="s">
        <v>239</v>
      </c>
      <c r="E22" s="51" t="s">
        <v>222</v>
      </c>
      <c r="F22" s="51" t="s">
        <v>228</v>
      </c>
      <c r="G22" s="51" t="s">
        <v>232</v>
      </c>
      <c r="H22" s="50" t="s">
        <v>225</v>
      </c>
      <c r="I22" s="50" t="s">
        <v>225</v>
      </c>
      <c r="J22" s="50" t="s">
        <v>225</v>
      </c>
      <c r="K22" s="50" t="s">
        <v>20</v>
      </c>
      <c r="L22" s="50" t="s">
        <v>16</v>
      </c>
      <c r="M22" s="51"/>
      <c r="N22" s="51"/>
      <c r="O22" s="53" t="str">
        <f t="array" ref="O22">INDEX('Packaging Standards'!B$2:B$38,MATCH(TRUE,ISNUMBER(SEARCH('Packaging Standards'!A$2:A$38,Table1[[#This Row],[Packaging]])),0))</f>
        <v>Glassine envelope</v>
      </c>
      <c r="P22" s="54" t="str">
        <f>IF(ISNUMBER(MATCH(Table1[[#This Row],[Indicated Compounds]],Table2[Diluants],0))=TRUE,Table1[[#This Row],[Indicated Compounds]],"")</f>
        <v>Noscapine</v>
      </c>
      <c r="Q22" s="54" t="str">
        <f>IF(ISBLANK(Table1[[#This Row],[Indicated Compounds]])=TRUE,"",IF(ISNUMBER(MATCH(Table1[[#This Row],[Indicated Compounds]],Table2[Diluants],0))=FALSE,Table1[[#This Row],[Indicated Compounds]],""))</f>
        <v/>
      </c>
      <c r="R22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22" s="55" t="str">
        <f>VLOOKUP(Table1[[#This Row],[Invoice + Item]],IDs!A:B,2,FALSE)</f>
        <v>Heroin,Fentanyl</v>
      </c>
      <c r="T22" s="56" t="str">
        <f>VLOOKUP(Table1[[#This Row],[Invoice + Item]],INDs!A:B,2,FALSE)</f>
        <v/>
      </c>
      <c r="U22" s="56" t="str">
        <f>VLOOKUP(Table1[[#This Row],[Invoice + Item]],Ds!A:B,2,FALSE)</f>
        <v>Caffeine,Papaverine,Procaine,Noscapine</v>
      </c>
      <c r="V22" s="56" t="str">
        <f>VLOOKUP(Table1[[#This Row],[Invoice + Item]],FENT!A:B,2,FALSE)</f>
        <v>Fentanyl</v>
      </c>
      <c r="W22" s="57" t="str">
        <f>VLOOKUP(Table1[[#This Row],[Invoice + Item]],FED!A:B,2,FALSE)</f>
        <v/>
      </c>
      <c r="X22" s="53" t="str">
        <f>VLOOKUP(Table1[[#This Row],[Invoice + Item]],FIS!A:B,2,FALSE)</f>
        <v/>
      </c>
      <c r="Y22" s="53" t="str">
        <f>MyConcat(Table1[[#This Row],[ID Mixture]:[D Mixture]])</f>
        <v>Heroin,Fentanyl,Caffeine,Papaverine,Procaine,Noscapine</v>
      </c>
      <c r="Z22" s="53" t="str">
        <f>MyConcat(Table1[[#This Row],[ID Mixture]:[IND Mixture]])</f>
        <v>Heroin,Fentanyl</v>
      </c>
      <c r="AA22" s="56" t="str">
        <f>IF(ISNUMBER(SEARCH(",",Table1[ID Mixture]))=TRUE, "TRUE", "FALSE")</f>
        <v>TRUE</v>
      </c>
      <c r="AB22" s="56" t="str">
        <f>IF(ISNUMBER(SEARCH(",",Table1[IND Mixture]))=TRUE, "TRUE", "FALSE")</f>
        <v>FALSE</v>
      </c>
      <c r="AC22" s="56" t="str">
        <f>IF(ISNUMBER(SEARCH(",",Table1[D Mixture]))=TRUE, "TRUE", "FALSE")</f>
        <v>TRUE</v>
      </c>
      <c r="AD22" s="56" t="str">
        <f>IF(COUNTIF(Table1[[#This Row],[ID Mixture]:[IND Mixture]],"*fent*")&gt;0,"TRUE","FALSE")</f>
        <v>TRUE</v>
      </c>
      <c r="AE22" s="56" t="str">
        <f>IF(COUNTIF(Table1[[#This Row],[ID Mixture]:[IND Mixture]],"*cocaine*")&gt;0,"TRUE","FALSE")</f>
        <v>FALSE</v>
      </c>
      <c r="AF22" s="56" t="str">
        <f>IF(ISNUMBER(SEARCH("residue",Table1[Description]))=TRUE, "TRUE", "FALSE")</f>
        <v>FALSE</v>
      </c>
    </row>
    <row r="23" spans="1:32" x14ac:dyDescent="0.2">
      <c r="A23" s="58" t="str">
        <f>Table1[[#This Row],[Invoice '#]]&amp;"-"&amp;Table1[[#This Row],[Item '#]]</f>
        <v>8191-12</v>
      </c>
      <c r="B23" s="50" t="s">
        <v>263</v>
      </c>
      <c r="C23" s="50" t="s">
        <v>276</v>
      </c>
      <c r="D23" s="50" t="s">
        <v>240</v>
      </c>
      <c r="E23" s="50" t="s">
        <v>222</v>
      </c>
      <c r="F23" s="50" t="s">
        <v>241</v>
      </c>
      <c r="G23" s="50" t="s">
        <v>232</v>
      </c>
      <c r="H23" s="50" t="s">
        <v>225</v>
      </c>
      <c r="I23" s="50" t="s">
        <v>225</v>
      </c>
      <c r="J23" s="50" t="s">
        <v>225</v>
      </c>
      <c r="K23" s="50" t="s">
        <v>226</v>
      </c>
      <c r="L23" s="50"/>
      <c r="M23" s="50"/>
      <c r="N23" s="50"/>
      <c r="O23" s="53" t="str">
        <f t="array" ref="O23">INDEX('Packaging Standards'!B$2:B$38,MATCH(TRUE,ISNUMBER(SEARCH('Packaging Standards'!A$2:A$38,Table1[[#This Row],[Packaging]])),0))</f>
        <v>Ziplock bag</v>
      </c>
      <c r="P23" s="54" t="str">
        <f>IF(ISNUMBER(MATCH(Table1[[#This Row],[Indicated Compounds]],Table2[Diluants],0))=TRUE,Table1[[#This Row],[Indicated Compounds]],"")</f>
        <v/>
      </c>
      <c r="Q23" s="54" t="str">
        <f>IF(ISBLANK(Table1[[#This Row],[Indicated Compounds]])=TRUE,"",IF(ISNUMBER(MATCH(Table1[[#This Row],[Indicated Compounds]],Table2[Diluants],0))=FALSE,Table1[[#This Row],[Indicated Compounds]],""))</f>
        <v/>
      </c>
      <c r="R23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3" s="55" t="str">
        <f>VLOOKUP(Table1[[#This Row],[Invoice + Item]],IDs!A:B,2,FALSE)</f>
        <v>Methamphetamine</v>
      </c>
      <c r="T23" s="56" t="str">
        <f>VLOOKUP(Table1[[#This Row],[Invoice + Item]],INDs!A:B,2,FALSE)</f>
        <v/>
      </c>
      <c r="U23" s="56" t="str">
        <f>VLOOKUP(Table1[[#This Row],[Invoice + Item]],Ds!A:B,2,FALSE)</f>
        <v/>
      </c>
      <c r="V23" s="56" t="str">
        <f>VLOOKUP(Table1[[#This Row],[Invoice + Item]],FENT!A:B,2,FALSE)</f>
        <v/>
      </c>
      <c r="W23" s="57" t="str">
        <f>VLOOKUP(Table1[[#This Row],[Invoice + Item]],FED!A:B,2,FALSE)</f>
        <v/>
      </c>
      <c r="X23" s="53" t="str">
        <f>VLOOKUP(Table1[[#This Row],[Invoice + Item]],FIS!A:B,2,FALSE)</f>
        <v/>
      </c>
      <c r="Y23" s="53" t="str">
        <f>MyConcat(Table1[[#This Row],[ID Mixture]:[D Mixture]])</f>
        <v>Methamphetamine</v>
      </c>
      <c r="Z23" s="53" t="str">
        <f>MyConcat(Table1[[#This Row],[ID Mixture]:[IND Mixture]])</f>
        <v>Methamphetamine</v>
      </c>
      <c r="AA23" s="56" t="str">
        <f>IF(ISNUMBER(SEARCH(",",Table1[ID Mixture]))=TRUE, "TRUE", "FALSE")</f>
        <v>FALSE</v>
      </c>
      <c r="AB23" s="56" t="str">
        <f>IF(ISNUMBER(SEARCH(",",Table1[IND Mixture]))=TRUE, "TRUE", "FALSE")</f>
        <v>FALSE</v>
      </c>
      <c r="AC23" s="56" t="str">
        <f>IF(ISNUMBER(SEARCH(",",Table1[D Mixture]))=TRUE, "TRUE", "FALSE")</f>
        <v>FALSE</v>
      </c>
      <c r="AD23" s="56" t="str">
        <f>IF(COUNTIF(Table1[[#This Row],[ID Mixture]:[IND Mixture]],"*fent*")&gt;0,"TRUE","FALSE")</f>
        <v>FALSE</v>
      </c>
      <c r="AE23" s="56" t="str">
        <f>IF(COUNTIF(Table1[[#This Row],[ID Mixture]:[IND Mixture]],"*cocaine*")&gt;0,"TRUE","FALSE")</f>
        <v>FALSE</v>
      </c>
      <c r="AF23" s="56" t="str">
        <f>IF(ISNUMBER(SEARCH("residue",Table1[Description]))=TRUE, "TRUE", "FALSE")</f>
        <v>FALSE</v>
      </c>
    </row>
    <row r="24" spans="1:32" x14ac:dyDescent="0.2">
      <c r="A24" s="58" t="str">
        <f>Table1[[#This Row],[Invoice '#]]&amp;"-"&amp;Table1[[#This Row],[Item '#]]</f>
        <v>9496-1</v>
      </c>
      <c r="B24" s="50" t="s">
        <v>264</v>
      </c>
      <c r="C24" s="50" t="s">
        <v>277</v>
      </c>
      <c r="D24" s="50" t="s">
        <v>222</v>
      </c>
      <c r="E24" s="50" t="s">
        <v>222</v>
      </c>
      <c r="F24" s="50" t="s">
        <v>242</v>
      </c>
      <c r="G24" s="50" t="s">
        <v>243</v>
      </c>
      <c r="H24" s="50" t="s">
        <v>225</v>
      </c>
      <c r="I24" s="50" t="s">
        <v>225</v>
      </c>
      <c r="J24" s="50" t="s">
        <v>225</v>
      </c>
      <c r="K24" s="50" t="s">
        <v>13</v>
      </c>
      <c r="L24" s="50"/>
      <c r="M24" s="50"/>
      <c r="N24" s="50"/>
      <c r="O24" s="53" t="str">
        <f t="array" ref="O24">INDEX('Packaging Standards'!B$2:B$38,MATCH(TRUE,ISNUMBER(SEARCH('Packaging Standards'!A$2:A$38,Table1[[#This Row],[Packaging]])),0))</f>
        <v>Bottle</v>
      </c>
      <c r="P24" s="54" t="str">
        <f>IF(ISNUMBER(MATCH(Table1[[#This Row],[Indicated Compounds]],Table2[Diluants],0))=TRUE,Table1[[#This Row],[Indicated Compounds]],"")</f>
        <v/>
      </c>
      <c r="Q24" s="54" t="str">
        <f>IF(ISBLANK(Table1[[#This Row],[Indicated Compounds]])=TRUE,"",IF(ISNUMBER(MATCH(Table1[[#This Row],[Indicated Compounds]],Table2[Diluants],0))=FALSE,Table1[[#This Row],[Indicated Compounds]],""))</f>
        <v/>
      </c>
      <c r="R24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4" s="55" t="str">
        <f>VLOOKUP(Table1[[#This Row],[Invoice + Item]],IDs!A:B,2,FALSE)</f>
        <v>NCSI</v>
      </c>
      <c r="T24" s="56" t="str">
        <f>VLOOKUP(Table1[[#This Row],[Invoice + Item]],INDs!A:B,2,FALSE)</f>
        <v/>
      </c>
      <c r="U24" s="56" t="str">
        <f>VLOOKUP(Table1[[#This Row],[Invoice + Item]],Ds!A:B,2,FALSE)</f>
        <v/>
      </c>
      <c r="V24" s="56" t="str">
        <f>VLOOKUP(Table1[[#This Row],[Invoice + Item]],FENT!A:B,2,FALSE)</f>
        <v/>
      </c>
      <c r="W24" s="57" t="str">
        <f>VLOOKUP(Table1[[#This Row],[Invoice + Item]],FED!A:B,2,FALSE)</f>
        <v/>
      </c>
      <c r="X24" s="53" t="str">
        <f>VLOOKUP(Table1[[#This Row],[Invoice + Item]],FIS!A:B,2,FALSE)</f>
        <v/>
      </c>
      <c r="Y24" s="53" t="str">
        <f>MyConcat(Table1[[#This Row],[ID Mixture]:[D Mixture]])</f>
        <v>NCSI</v>
      </c>
      <c r="Z24" s="53" t="str">
        <f>MyConcat(Table1[[#This Row],[ID Mixture]:[IND Mixture]])</f>
        <v>NCSI</v>
      </c>
      <c r="AA24" s="56" t="str">
        <f>IF(ISNUMBER(SEARCH(",",Table1[ID Mixture]))=TRUE, "TRUE", "FALSE")</f>
        <v>FALSE</v>
      </c>
      <c r="AB24" s="56" t="str">
        <f>IF(ISNUMBER(SEARCH(",",Table1[IND Mixture]))=TRUE, "TRUE", "FALSE")</f>
        <v>FALSE</v>
      </c>
      <c r="AC24" s="56" t="str">
        <f>IF(ISNUMBER(SEARCH(",",Table1[D Mixture]))=TRUE, "TRUE", "FALSE")</f>
        <v>FALSE</v>
      </c>
      <c r="AD24" s="56" t="str">
        <f>IF(COUNTIF(Table1[[#This Row],[ID Mixture]:[IND Mixture]],"*fent*")&gt;0,"TRUE","FALSE")</f>
        <v>FALSE</v>
      </c>
      <c r="AE24" s="56" t="str">
        <f>IF(COUNTIF(Table1[[#This Row],[ID Mixture]:[IND Mixture]],"*cocaine*")&gt;0,"TRUE","FALSE")</f>
        <v>FALSE</v>
      </c>
      <c r="AF24" s="56" t="str">
        <f>IF(ISNUMBER(SEARCH("residue",Table1[Description]))=TRUE, "TRUE", "FALSE")</f>
        <v>FALSE</v>
      </c>
    </row>
    <row r="25" spans="1:32" x14ac:dyDescent="0.2">
      <c r="A25" s="58" t="str">
        <f>Table1[[#This Row],[Invoice '#]]&amp;"-"&amp;Table1[[#This Row],[Item '#]]</f>
        <v>9496-1</v>
      </c>
      <c r="B25" s="51" t="s">
        <v>264</v>
      </c>
      <c r="C25" s="51" t="s">
        <v>277</v>
      </c>
      <c r="D25" s="51" t="s">
        <v>222</v>
      </c>
      <c r="E25" s="51" t="s">
        <v>222</v>
      </c>
      <c r="F25" s="51" t="s">
        <v>242</v>
      </c>
      <c r="G25" s="51" t="s">
        <v>243</v>
      </c>
      <c r="H25" s="50" t="s">
        <v>225</v>
      </c>
      <c r="I25" s="50" t="s">
        <v>225</v>
      </c>
      <c r="J25" s="50" t="s">
        <v>225</v>
      </c>
      <c r="K25" s="51"/>
      <c r="L25" s="50"/>
      <c r="M25" s="51"/>
      <c r="N25" s="51"/>
      <c r="O25" s="53" t="str">
        <f t="array" ref="O25">INDEX('Packaging Standards'!B$2:B$38,MATCH(TRUE,ISNUMBER(SEARCH('Packaging Standards'!A$2:A$38,Table1[[#This Row],[Packaging]])),0))</f>
        <v>Bottle</v>
      </c>
      <c r="P25" s="54" t="str">
        <f>IF(ISNUMBER(MATCH(Table1[[#This Row],[Indicated Compounds]],Table2[Diluants],0))=TRUE,Table1[[#This Row],[Indicated Compounds]],"")</f>
        <v/>
      </c>
      <c r="Q25" s="54" t="str">
        <f>IF(ISBLANK(Table1[[#This Row],[Indicated Compounds]])=TRUE,"",IF(ISNUMBER(MATCH(Table1[[#This Row],[Indicated Compounds]],Table2[Diluants],0))=FALSE,Table1[[#This Row],[Indicated Compounds]],""))</f>
        <v/>
      </c>
      <c r="R25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5" s="55" t="str">
        <f>VLOOKUP(Table1[[#This Row],[Invoice + Item]],IDs!A:B,2,FALSE)</f>
        <v>NCSI</v>
      </c>
      <c r="T25" s="56" t="str">
        <f>VLOOKUP(Table1[[#This Row],[Invoice + Item]],INDs!A:B,2,FALSE)</f>
        <v/>
      </c>
      <c r="U25" s="56" t="str">
        <f>VLOOKUP(Table1[[#This Row],[Invoice + Item]],Ds!A:B,2,FALSE)</f>
        <v/>
      </c>
      <c r="V25" s="56" t="str">
        <f>VLOOKUP(Table1[[#This Row],[Invoice + Item]],FENT!A:B,2,FALSE)</f>
        <v/>
      </c>
      <c r="W25" s="58" t="str">
        <f>VLOOKUP(Table1[[#This Row],[Invoice + Item]],FED!A:B,2,FALSE)</f>
        <v/>
      </c>
      <c r="X25" s="60" t="str">
        <f>VLOOKUP(Table1[[#This Row],[Invoice + Item]],FIS!A:B,2,FALSE)</f>
        <v/>
      </c>
      <c r="Y25" s="60" t="str">
        <f>MyConcat(Table1[[#This Row],[ID Mixture]:[D Mixture]])</f>
        <v>NCSI</v>
      </c>
      <c r="Z25" s="60" t="str">
        <f>MyConcat(Table1[[#This Row],[ID Mixture]:[IND Mixture]])</f>
        <v>NCSI</v>
      </c>
      <c r="AA25" s="56" t="str">
        <f>IF(ISNUMBER(SEARCH(",",Table1[ID Mixture]))=TRUE, "TRUE", "FALSE")</f>
        <v>FALSE</v>
      </c>
      <c r="AB25" s="56" t="str">
        <f>IF(ISNUMBER(SEARCH(",",Table1[IND Mixture]))=TRUE, "TRUE", "FALSE")</f>
        <v>FALSE</v>
      </c>
      <c r="AC25" s="56" t="str">
        <f>IF(ISNUMBER(SEARCH(",",Table1[D Mixture]))=TRUE, "TRUE", "FALSE")</f>
        <v>FALSE</v>
      </c>
      <c r="AD25" s="56" t="str">
        <f>IF(COUNTIF(Table1[[#This Row],[ID Mixture]:[IND Mixture]],"*fent*")&gt;0,"TRUE","FALSE")</f>
        <v>FALSE</v>
      </c>
      <c r="AE25" s="56" t="str">
        <f>IF(COUNTIF(Table1[[#This Row],[ID Mixture]:[IND Mixture]],"*cocaine*")&gt;0,"TRUE","FALSE")</f>
        <v>FALSE</v>
      </c>
      <c r="AF25" s="56" t="str">
        <f>IF(ISNUMBER(SEARCH("residue",Table1[Description]))=TRUE, "TRUE", "FALSE")</f>
        <v>FALSE</v>
      </c>
    </row>
    <row r="26" spans="1:32" x14ac:dyDescent="0.2">
      <c r="A26" s="58" t="str">
        <f>Table1[[#This Row],[Invoice '#]]&amp;"-"&amp;Table1[[#This Row],[Item '#]]</f>
        <v>0396-1</v>
      </c>
      <c r="B26" s="50" t="s">
        <v>265</v>
      </c>
      <c r="C26" s="50" t="s">
        <v>278</v>
      </c>
      <c r="D26" s="50" t="s">
        <v>222</v>
      </c>
      <c r="E26" s="50" t="s">
        <v>222</v>
      </c>
      <c r="F26" s="50" t="s">
        <v>241</v>
      </c>
      <c r="G26" s="50" t="s">
        <v>232</v>
      </c>
      <c r="H26" s="50" t="s">
        <v>225</v>
      </c>
      <c r="I26" s="50" t="s">
        <v>225</v>
      </c>
      <c r="J26" s="50" t="s">
        <v>225</v>
      </c>
      <c r="K26" s="50" t="s">
        <v>236</v>
      </c>
      <c r="L26" s="50"/>
      <c r="M26" s="50"/>
      <c r="N26" s="50"/>
      <c r="O26" s="53" t="str">
        <f t="array" ref="O26">INDEX('Packaging Standards'!B$2:B$38,MATCH(TRUE,ISNUMBER(SEARCH('Packaging Standards'!A$2:A$38,Table1[[#This Row],[Packaging]])),0))</f>
        <v>Ziplock bag</v>
      </c>
      <c r="P26" s="54" t="str">
        <f>IF(ISNUMBER(MATCH(Table1[[#This Row],[Indicated Compounds]],Table2[Diluants],0))=TRUE,Table1[[#This Row],[Indicated Compounds]],"")</f>
        <v/>
      </c>
      <c r="Q26" s="54" t="str">
        <f>IF(ISBLANK(Table1[[#This Row],[Indicated Compounds]])=TRUE,"",IF(ISNUMBER(MATCH(Table1[[#This Row],[Indicated Compounds]],Table2[Diluants],0))=FALSE,Table1[[#This Row],[Indicated Compounds]],""))</f>
        <v/>
      </c>
      <c r="R26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6" s="55" t="str">
        <f>VLOOKUP(Table1[[#This Row],[Invoice + Item]],IDs!A:B,2,FALSE)</f>
        <v>Cocaine</v>
      </c>
      <c r="T26" s="56" t="str">
        <f>VLOOKUP(Table1[[#This Row],[Invoice + Item]],INDs!A:B,2,FALSE)</f>
        <v/>
      </c>
      <c r="U26" s="56" t="str">
        <f>VLOOKUP(Table1[[#This Row],[Invoice + Item]],Ds!A:B,2,FALSE)</f>
        <v/>
      </c>
      <c r="V26" s="56" t="str">
        <f>VLOOKUP(Table1[[#This Row],[Invoice + Item]],FENT!A:B,2,FALSE)</f>
        <v/>
      </c>
      <c r="W26" s="57" t="str">
        <f>VLOOKUP(Table1[[#This Row],[Invoice + Item]],FED!A:B,2,FALSE)</f>
        <v/>
      </c>
      <c r="X26" s="53" t="str">
        <f>VLOOKUP(Table1[[#This Row],[Invoice + Item]],FIS!A:B,2,FALSE)</f>
        <v/>
      </c>
      <c r="Y26" s="53" t="str">
        <f>MyConcat(Table1[[#This Row],[ID Mixture]:[D Mixture]])</f>
        <v>Cocaine</v>
      </c>
      <c r="Z26" s="53" t="str">
        <f>MyConcat(Table1[[#This Row],[ID Mixture]:[IND Mixture]])</f>
        <v>Cocaine</v>
      </c>
      <c r="AA26" s="56" t="str">
        <f>IF(ISNUMBER(SEARCH(",",Table1[ID Mixture]))=TRUE, "TRUE", "FALSE")</f>
        <v>FALSE</v>
      </c>
      <c r="AB26" s="56" t="str">
        <f>IF(ISNUMBER(SEARCH(",",Table1[IND Mixture]))=TRUE, "TRUE", "FALSE")</f>
        <v>FALSE</v>
      </c>
      <c r="AC26" s="56" t="str">
        <f>IF(ISNUMBER(SEARCH(",",Table1[D Mixture]))=TRUE, "TRUE", "FALSE")</f>
        <v>FALSE</v>
      </c>
      <c r="AD26" s="56" t="str">
        <f>IF(COUNTIF(Table1[[#This Row],[ID Mixture]:[IND Mixture]],"*fent*")&gt;0,"TRUE","FALSE")</f>
        <v>FALSE</v>
      </c>
      <c r="AE26" s="56" t="str">
        <f>IF(COUNTIF(Table1[[#This Row],[ID Mixture]:[IND Mixture]],"*cocaine*")&gt;0,"TRUE","FALSE")</f>
        <v>TRUE</v>
      </c>
      <c r="AF26" s="56" t="str">
        <f>IF(ISNUMBER(SEARCH("residue",Table1[Description]))=TRUE, "TRUE", "FALSE")</f>
        <v>FALSE</v>
      </c>
    </row>
    <row r="27" spans="1:32" x14ac:dyDescent="0.2">
      <c r="A27" s="58" t="str">
        <f>Table1[[#This Row],[Invoice '#]]&amp;"-"&amp;Table1[[#This Row],[Item '#]]</f>
        <v>7744-1</v>
      </c>
      <c r="B27" s="50" t="s">
        <v>266</v>
      </c>
      <c r="C27" s="50" t="s">
        <v>279</v>
      </c>
      <c r="D27" s="50" t="s">
        <v>222</v>
      </c>
      <c r="E27" s="50" t="s">
        <v>222</v>
      </c>
      <c r="F27" s="50" t="s">
        <v>244</v>
      </c>
      <c r="G27" s="50" t="s">
        <v>224</v>
      </c>
      <c r="H27" s="50" t="s">
        <v>225</v>
      </c>
      <c r="I27" s="50" t="s">
        <v>225</v>
      </c>
      <c r="J27" s="50" t="s">
        <v>225</v>
      </c>
      <c r="K27" s="50" t="s">
        <v>233</v>
      </c>
      <c r="L27" s="50" t="s">
        <v>33</v>
      </c>
      <c r="M27" s="50"/>
      <c r="N27" s="50"/>
      <c r="O27" s="53" t="str">
        <f t="array" ref="O27">INDEX('Packaging Standards'!B$2:B$38,MATCH(TRUE,ISNUMBER(SEARCH('Packaging Standards'!A$2:A$38,Table1[[#This Row],[Packaging]])),0))</f>
        <v>Straw</v>
      </c>
      <c r="P27" s="54" t="str">
        <f>IF(ISNUMBER(MATCH(Table1[[#This Row],[Indicated Compounds]],Table2[Diluants],0))=TRUE,Table1[[#This Row],[Indicated Compounds]],"")</f>
        <v>Acetaminophen</v>
      </c>
      <c r="Q27" s="54" t="str">
        <f>IF(ISBLANK(Table1[[#This Row],[Indicated Compounds]])=TRUE,"",IF(ISNUMBER(MATCH(Table1[[#This Row],[Indicated Compounds]],Table2[Diluants],0))=FALSE,Table1[[#This Row],[Indicated Compounds]],""))</f>
        <v/>
      </c>
      <c r="R27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7" s="55" t="str">
        <f>VLOOKUP(Table1[[#This Row],[Invoice + Item]],IDs!A:B,2,FALSE)</f>
        <v>Tramadol</v>
      </c>
      <c r="T27" s="56" t="str">
        <f>VLOOKUP(Table1[[#This Row],[Invoice + Item]],INDs!A:B,2,FALSE)</f>
        <v/>
      </c>
      <c r="U27" s="56" t="str">
        <f>VLOOKUP(Table1[[#This Row],[Invoice + Item]],Ds!A:B,2,FALSE)</f>
        <v>Acetaminophen</v>
      </c>
      <c r="V27" s="56" t="str">
        <f>VLOOKUP(Table1[[#This Row],[Invoice + Item]],FENT!A:B,2,FALSE)</f>
        <v/>
      </c>
      <c r="W27" s="58" t="str">
        <f>VLOOKUP(Table1[[#This Row],[Invoice + Item]],FED!A:B,2,FALSE)</f>
        <v/>
      </c>
      <c r="X27" s="60" t="str">
        <f>VLOOKUP(Table1[[#This Row],[Invoice + Item]],FIS!A:B,2,FALSE)</f>
        <v/>
      </c>
      <c r="Y27" s="60" t="str">
        <f>MyConcat(Table1[[#This Row],[ID Mixture]:[D Mixture]])</f>
        <v>Tramadol,Acetaminophen</v>
      </c>
      <c r="Z27" s="60" t="str">
        <f>MyConcat(Table1[[#This Row],[ID Mixture]:[IND Mixture]])</f>
        <v>Tramadol</v>
      </c>
      <c r="AA27" s="56" t="str">
        <f>IF(ISNUMBER(SEARCH(",",Table1[ID Mixture]))=TRUE, "TRUE", "FALSE")</f>
        <v>FALSE</v>
      </c>
      <c r="AB27" s="56" t="str">
        <f>IF(ISNUMBER(SEARCH(",",Table1[IND Mixture]))=TRUE, "TRUE", "FALSE")</f>
        <v>FALSE</v>
      </c>
      <c r="AC27" s="56" t="str">
        <f>IF(ISNUMBER(SEARCH(",",Table1[D Mixture]))=TRUE, "TRUE", "FALSE")</f>
        <v>FALSE</v>
      </c>
      <c r="AD27" s="56" t="str">
        <f>IF(COUNTIF(Table1[[#This Row],[ID Mixture]:[IND Mixture]],"*fent*")&gt;0,"TRUE","FALSE")</f>
        <v>FALSE</v>
      </c>
      <c r="AE27" s="56" t="str">
        <f>IF(COUNTIF(Table1[[#This Row],[ID Mixture]:[IND Mixture]],"*cocaine*")&gt;0,"TRUE","FALSE")</f>
        <v>FALSE</v>
      </c>
      <c r="AF27" s="56" t="str">
        <f>IF(ISNUMBER(SEARCH("residue",Table1[Description]))=TRUE, "TRUE", "FALSE")</f>
        <v>TRUE</v>
      </c>
    </row>
    <row r="28" spans="1:32" x14ac:dyDescent="0.2">
      <c r="A28" s="58" t="str">
        <f>Table1[[#This Row],[Invoice '#]]&amp;"-"&amp;Table1[[#This Row],[Item '#]]</f>
        <v>7744-2</v>
      </c>
      <c r="B28" s="50" t="s">
        <v>266</v>
      </c>
      <c r="C28" s="50" t="s">
        <v>279</v>
      </c>
      <c r="D28" s="50" t="s">
        <v>245</v>
      </c>
      <c r="E28" s="50" t="s">
        <v>222</v>
      </c>
      <c r="F28" s="50" t="s">
        <v>246</v>
      </c>
      <c r="G28" s="50" t="s">
        <v>224</v>
      </c>
      <c r="H28" s="50" t="s">
        <v>225</v>
      </c>
      <c r="I28" s="50" t="s">
        <v>225</v>
      </c>
      <c r="J28" s="50" t="s">
        <v>225</v>
      </c>
      <c r="K28" s="50" t="s">
        <v>233</v>
      </c>
      <c r="L28" s="50" t="s">
        <v>33</v>
      </c>
      <c r="M28" s="50"/>
      <c r="N28" s="50"/>
      <c r="O28" s="53" t="str">
        <f t="array" ref="O28">INDEX('Packaging Standards'!B$2:B$38,MATCH(TRUE,ISNUMBER(SEARCH('Packaging Standards'!A$2:A$38,Table1[[#This Row],[Packaging]])),0))</f>
        <v>Container</v>
      </c>
      <c r="P28" s="54" t="str">
        <f>IF(ISNUMBER(MATCH(Table1[[#This Row],[Indicated Compounds]],Table2[Diluants],0))=TRUE,Table1[[#This Row],[Indicated Compounds]],"")</f>
        <v>Acetaminophen</v>
      </c>
      <c r="Q28" s="54" t="str">
        <f>IF(ISBLANK(Table1[[#This Row],[Indicated Compounds]])=TRUE,"",IF(ISNUMBER(MATCH(Table1[[#This Row],[Indicated Compounds]],Table2[Diluants],0))=FALSE,Table1[[#This Row],[Indicated Compounds]],""))</f>
        <v/>
      </c>
      <c r="R28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8" s="55" t="str">
        <f>VLOOKUP(Table1[[#This Row],[Invoice + Item]],IDs!A:B,2,FALSE)</f>
        <v>Tramadol</v>
      </c>
      <c r="T28" s="56" t="str">
        <f>VLOOKUP(Table1[[#This Row],[Invoice + Item]],INDs!A:B,2,FALSE)</f>
        <v/>
      </c>
      <c r="U28" s="56" t="str">
        <f>VLOOKUP(Table1[[#This Row],[Invoice + Item]],Ds!A:B,2,FALSE)</f>
        <v>Acetaminophen</v>
      </c>
      <c r="V28" s="56" t="str">
        <f>VLOOKUP(Table1[[#This Row],[Invoice + Item]],FENT!A:B,2,FALSE)</f>
        <v/>
      </c>
      <c r="W28" s="57" t="str">
        <f>VLOOKUP(Table1[[#This Row],[Invoice + Item]],FED!A:B,2,FALSE)</f>
        <v/>
      </c>
      <c r="X28" s="53" t="str">
        <f>VLOOKUP(Table1[[#This Row],[Invoice + Item]],FIS!A:B,2,FALSE)</f>
        <v/>
      </c>
      <c r="Y28" s="53" t="str">
        <f>MyConcat(Table1[[#This Row],[ID Mixture]:[D Mixture]])</f>
        <v>Tramadol,Acetaminophen</v>
      </c>
      <c r="Z28" s="53" t="str">
        <f>MyConcat(Table1[[#This Row],[ID Mixture]:[IND Mixture]])</f>
        <v>Tramadol</v>
      </c>
      <c r="AA28" s="56" t="str">
        <f>IF(ISNUMBER(SEARCH(",",Table1[ID Mixture]))=TRUE, "TRUE", "FALSE")</f>
        <v>FALSE</v>
      </c>
      <c r="AB28" s="56" t="str">
        <f>IF(ISNUMBER(SEARCH(",",Table1[IND Mixture]))=TRUE, "TRUE", "FALSE")</f>
        <v>FALSE</v>
      </c>
      <c r="AC28" s="56" t="str">
        <f>IF(ISNUMBER(SEARCH(",",Table1[D Mixture]))=TRUE, "TRUE", "FALSE")</f>
        <v>FALSE</v>
      </c>
      <c r="AD28" s="56" t="str">
        <f>IF(COUNTIF(Table1[[#This Row],[ID Mixture]:[IND Mixture]],"*fent*")&gt;0,"TRUE","FALSE")</f>
        <v>FALSE</v>
      </c>
      <c r="AE28" s="56" t="str">
        <f>IF(COUNTIF(Table1[[#This Row],[ID Mixture]:[IND Mixture]],"*cocaine*")&gt;0,"TRUE","FALSE")</f>
        <v>FALSE</v>
      </c>
      <c r="AF28" s="56" t="str">
        <f>IF(ISNUMBER(SEARCH("residue",Table1[Description]))=TRUE, "TRUE", "FALSE")</f>
        <v>TRUE</v>
      </c>
    </row>
    <row r="29" spans="1:32" x14ac:dyDescent="0.2">
      <c r="A29" s="58" t="str">
        <f>Table1[[#This Row],[Invoice '#]]&amp;"-"&amp;Table1[[#This Row],[Item '#]]</f>
        <v>9589-1A</v>
      </c>
      <c r="B29" s="51" t="s">
        <v>267</v>
      </c>
      <c r="C29" s="51" t="s">
        <v>280</v>
      </c>
      <c r="D29" s="51" t="s">
        <v>238</v>
      </c>
      <c r="E29" s="51" t="s">
        <v>222</v>
      </c>
      <c r="F29" s="51" t="s">
        <v>241</v>
      </c>
      <c r="G29" s="51" t="s">
        <v>224</v>
      </c>
      <c r="H29" s="50" t="s">
        <v>225</v>
      </c>
      <c r="I29" s="50" t="s">
        <v>225</v>
      </c>
      <c r="J29" s="50" t="s">
        <v>225</v>
      </c>
      <c r="K29" s="51"/>
      <c r="L29" s="50" t="s">
        <v>24</v>
      </c>
      <c r="M29" s="51"/>
      <c r="N29" s="51"/>
      <c r="O29" s="53" t="str">
        <f t="array" ref="O29">INDEX('Packaging Standards'!B$2:B$38,MATCH(TRUE,ISNUMBER(SEARCH('Packaging Standards'!A$2:A$38,Table1[[#This Row],[Packaging]])),0))</f>
        <v>Ziplock bag</v>
      </c>
      <c r="P29" s="54" t="str">
        <f>IF(ISNUMBER(MATCH(Table1[[#This Row],[Indicated Compounds]],Table2[Diluants],0))=TRUE,Table1[[#This Row],[Indicated Compounds]],"")</f>
        <v>Lidocaine</v>
      </c>
      <c r="Q29" s="54" t="str">
        <f>IF(ISBLANK(Table1[[#This Row],[Indicated Compounds]])=TRUE,"",IF(ISNUMBER(MATCH(Table1[[#This Row],[Indicated Compounds]],Table2[Diluants],0))=FALSE,Table1[[#This Row],[Indicated Compounds]],""))</f>
        <v/>
      </c>
      <c r="R29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29" s="55" t="str">
        <f>VLOOKUP(Table1[[#This Row],[Invoice + Item]],IDs!A:B,2,FALSE)</f>
        <v>Cocaine</v>
      </c>
      <c r="T29" s="56" t="str">
        <f>VLOOKUP(Table1[[#This Row],[Invoice + Item]],INDs!A:B,2,FALSE)</f>
        <v/>
      </c>
      <c r="U29" s="56" t="str">
        <f>VLOOKUP(Table1[[#This Row],[Invoice + Item]],Ds!A:B,2,FALSE)</f>
        <v>Lidocaine,Tetramisole</v>
      </c>
      <c r="V29" s="56" t="str">
        <f>VLOOKUP(Table1[[#This Row],[Invoice + Item]],FENT!A:B,2,FALSE)</f>
        <v/>
      </c>
      <c r="W29" s="57" t="str">
        <f>VLOOKUP(Table1[[#This Row],[Invoice + Item]],FED!A:B,2,FALSE)</f>
        <v/>
      </c>
      <c r="X29" s="53" t="str">
        <f>VLOOKUP(Table1[[#This Row],[Invoice + Item]],FIS!A:B,2,FALSE)</f>
        <v/>
      </c>
      <c r="Y29" s="53" t="str">
        <f>MyConcat(Table1[[#This Row],[ID Mixture]:[D Mixture]])</f>
        <v>Cocaine,Lidocaine,Tetramisole</v>
      </c>
      <c r="Z29" s="53" t="str">
        <f>MyConcat(Table1[[#This Row],[ID Mixture]:[IND Mixture]])</f>
        <v>Cocaine</v>
      </c>
      <c r="AA29" s="56" t="str">
        <f>IF(ISNUMBER(SEARCH(",",Table1[ID Mixture]))=TRUE, "TRUE", "FALSE")</f>
        <v>FALSE</v>
      </c>
      <c r="AB29" s="56" t="str">
        <f>IF(ISNUMBER(SEARCH(",",Table1[IND Mixture]))=TRUE, "TRUE", "FALSE")</f>
        <v>FALSE</v>
      </c>
      <c r="AC29" s="56" t="str">
        <f>IF(ISNUMBER(SEARCH(",",Table1[D Mixture]))=TRUE, "TRUE", "FALSE")</f>
        <v>TRUE</v>
      </c>
      <c r="AD29" s="56" t="str">
        <f>IF(COUNTIF(Table1[[#This Row],[ID Mixture]:[IND Mixture]],"*fent*")&gt;0,"TRUE","FALSE")</f>
        <v>FALSE</v>
      </c>
      <c r="AE29" s="56" t="str">
        <f>IF(COUNTIF(Table1[[#This Row],[ID Mixture]:[IND Mixture]],"*cocaine*")&gt;0,"TRUE","FALSE")</f>
        <v>TRUE</v>
      </c>
      <c r="AF29" s="56" t="str">
        <f>IF(ISNUMBER(SEARCH("residue",Table1[Description]))=TRUE, "TRUE", "FALSE")</f>
        <v>TRUE</v>
      </c>
    </row>
    <row r="30" spans="1:32" x14ac:dyDescent="0.2">
      <c r="A30" s="58" t="str">
        <f>Table1[[#This Row],[Invoice '#]]&amp;"-"&amp;Table1[[#This Row],[Item '#]]</f>
        <v>9589-1A</v>
      </c>
      <c r="B30" s="50" t="s">
        <v>267</v>
      </c>
      <c r="C30" s="50" t="s">
        <v>280</v>
      </c>
      <c r="D30" s="50" t="s">
        <v>238</v>
      </c>
      <c r="E30" s="50" t="s">
        <v>222</v>
      </c>
      <c r="F30" s="50" t="s">
        <v>241</v>
      </c>
      <c r="G30" s="50" t="s">
        <v>224</v>
      </c>
      <c r="H30" s="50" t="s">
        <v>225</v>
      </c>
      <c r="I30" s="50" t="s">
        <v>225</v>
      </c>
      <c r="J30" s="50" t="s">
        <v>225</v>
      </c>
      <c r="K30" s="50" t="s">
        <v>236</v>
      </c>
      <c r="L30" s="50" t="s">
        <v>15</v>
      </c>
      <c r="M30" s="50"/>
      <c r="N30" s="50"/>
      <c r="O30" s="53" t="str">
        <f t="array" ref="O30">INDEX('Packaging Standards'!B$2:B$38,MATCH(TRUE,ISNUMBER(SEARCH('Packaging Standards'!A$2:A$38,Table1[[#This Row],[Packaging]])),0))</f>
        <v>Ziplock bag</v>
      </c>
      <c r="P30" s="54" t="str">
        <f>IF(ISNUMBER(MATCH(Table1[[#This Row],[Indicated Compounds]],Table2[Diluants],0))=TRUE,Table1[[#This Row],[Indicated Compounds]],"")</f>
        <v>Tetramisole</v>
      </c>
      <c r="Q30" s="54" t="str">
        <f>IF(ISBLANK(Table1[[#This Row],[Indicated Compounds]])=TRUE,"",IF(ISNUMBER(MATCH(Table1[[#This Row],[Indicated Compounds]],Table2[Diluants],0))=FALSE,Table1[[#This Row],[Indicated Compounds]],""))</f>
        <v/>
      </c>
      <c r="R30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0" s="55" t="str">
        <f>VLOOKUP(Table1[[#This Row],[Invoice + Item]],IDs!A:B,2,FALSE)</f>
        <v>Cocaine</v>
      </c>
      <c r="T30" s="56" t="str">
        <f>VLOOKUP(Table1[[#This Row],[Invoice + Item]],INDs!A:B,2,FALSE)</f>
        <v/>
      </c>
      <c r="U30" s="56" t="str">
        <f>VLOOKUP(Table1[[#This Row],[Invoice + Item]],Ds!A:B,2,FALSE)</f>
        <v>Lidocaine,Tetramisole</v>
      </c>
      <c r="V30" s="56" t="str">
        <f>VLOOKUP(Table1[[#This Row],[Invoice + Item]],FENT!A:B,2,FALSE)</f>
        <v/>
      </c>
      <c r="W30" s="58" t="str">
        <f>VLOOKUP(Table1[[#This Row],[Invoice + Item]],FED!A:B,2,FALSE)</f>
        <v/>
      </c>
      <c r="X30" s="60" t="str">
        <f>VLOOKUP(Table1[[#This Row],[Invoice + Item]],FIS!A:B,2,FALSE)</f>
        <v/>
      </c>
      <c r="Y30" s="60" t="str">
        <f>MyConcat(Table1[[#This Row],[ID Mixture]:[D Mixture]])</f>
        <v>Cocaine,Lidocaine,Tetramisole</v>
      </c>
      <c r="Z30" s="60" t="str">
        <f>MyConcat(Table1[[#This Row],[ID Mixture]:[IND Mixture]])</f>
        <v>Cocaine</v>
      </c>
      <c r="AA30" s="56" t="str">
        <f>IF(ISNUMBER(SEARCH(",",Table1[ID Mixture]))=TRUE, "TRUE", "FALSE")</f>
        <v>FALSE</v>
      </c>
      <c r="AB30" s="56" t="str">
        <f>IF(ISNUMBER(SEARCH(",",Table1[IND Mixture]))=TRUE, "TRUE", "FALSE")</f>
        <v>FALSE</v>
      </c>
      <c r="AC30" s="56" t="str">
        <f>IF(ISNUMBER(SEARCH(",",Table1[D Mixture]))=TRUE, "TRUE", "FALSE")</f>
        <v>TRUE</v>
      </c>
      <c r="AD30" s="56" t="str">
        <f>IF(COUNTIF(Table1[[#This Row],[ID Mixture]:[IND Mixture]],"*fent*")&gt;0,"TRUE","FALSE")</f>
        <v>FALSE</v>
      </c>
      <c r="AE30" s="56" t="str">
        <f>IF(COUNTIF(Table1[[#This Row],[ID Mixture]:[IND Mixture]],"*cocaine*")&gt;0,"TRUE","FALSE")</f>
        <v>TRUE</v>
      </c>
      <c r="AF30" s="56" t="str">
        <f>IF(ISNUMBER(SEARCH("residue",Table1[Description]))=TRUE, "TRUE", "FALSE")</f>
        <v>TRUE</v>
      </c>
    </row>
    <row r="31" spans="1:32" x14ac:dyDescent="0.2">
      <c r="A31" s="58" t="str">
        <f>Table1[[#This Row],[Invoice '#]]&amp;"-"&amp;Table1[[#This Row],[Item '#]]</f>
        <v>8089-1</v>
      </c>
      <c r="B31" s="50" t="s">
        <v>268</v>
      </c>
      <c r="C31" s="50" t="s">
        <v>281</v>
      </c>
      <c r="D31" s="50" t="s">
        <v>222</v>
      </c>
      <c r="E31" s="50" t="s">
        <v>222</v>
      </c>
      <c r="F31" s="50" t="s">
        <v>223</v>
      </c>
      <c r="G31" s="50" t="s">
        <v>224</v>
      </c>
      <c r="H31" s="50" t="s">
        <v>225</v>
      </c>
      <c r="I31" s="50" t="s">
        <v>225</v>
      </c>
      <c r="J31" s="50" t="s">
        <v>225</v>
      </c>
      <c r="K31" s="50" t="s">
        <v>236</v>
      </c>
      <c r="L31" s="50" t="s">
        <v>14</v>
      </c>
      <c r="M31" s="50"/>
      <c r="N31" s="50"/>
      <c r="O31" s="53" t="str">
        <f t="array" ref="O31">INDEX('Packaging Standards'!B$2:B$38,MATCH(TRUE,ISNUMBER(SEARCH('Packaging Standards'!A$2:A$38,Table1[[#This Row],[Packaging]])),0))</f>
        <v>Pipe</v>
      </c>
      <c r="P31" s="54" t="str">
        <f>IF(ISNUMBER(MATCH(Table1[[#This Row],[Indicated Compounds]],Table2[Diluants],0))=TRUE,Table1[[#This Row],[Indicated Compounds]],"")</f>
        <v>Phenacetin</v>
      </c>
      <c r="Q31" s="54" t="str">
        <f>IF(ISBLANK(Table1[[#This Row],[Indicated Compounds]])=TRUE,"",IF(ISNUMBER(MATCH(Table1[[#This Row],[Indicated Compounds]],Table2[Diluants],0))=FALSE,Table1[[#This Row],[Indicated Compounds]],""))</f>
        <v/>
      </c>
      <c r="R31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1" s="55" t="str">
        <f>VLOOKUP(Table1[[#This Row],[Invoice + Item]],IDs!A:B,2,FALSE)</f>
        <v>Cocaine</v>
      </c>
      <c r="T31" s="56" t="str">
        <f>VLOOKUP(Table1[[#This Row],[Invoice + Item]],INDs!A:B,2,FALSE)</f>
        <v/>
      </c>
      <c r="U31" s="56" t="str">
        <f>VLOOKUP(Table1[[#This Row],[Invoice + Item]],Ds!A:B,2,FALSE)</f>
        <v>Phenacetin</v>
      </c>
      <c r="V31" s="56" t="str">
        <f>VLOOKUP(Table1[[#This Row],[Invoice + Item]],FENT!A:B,2,FALSE)</f>
        <v/>
      </c>
      <c r="W31" s="57" t="str">
        <f>VLOOKUP(Table1[[#This Row],[Invoice + Item]],FED!A:B,2,FALSE)</f>
        <v/>
      </c>
      <c r="X31" s="53" t="str">
        <f>VLOOKUP(Table1[[#This Row],[Invoice + Item]],FIS!A:B,2,FALSE)</f>
        <v/>
      </c>
      <c r="Y31" s="53" t="str">
        <f>MyConcat(Table1[[#This Row],[ID Mixture]:[D Mixture]])</f>
        <v>Cocaine,Phenacetin</v>
      </c>
      <c r="Z31" s="53" t="str">
        <f>MyConcat(Table1[[#This Row],[ID Mixture]:[IND Mixture]])</f>
        <v>Cocaine</v>
      </c>
      <c r="AA31" s="56" t="str">
        <f>IF(ISNUMBER(SEARCH(",",Table1[ID Mixture]))=TRUE, "TRUE", "FALSE")</f>
        <v>FALSE</v>
      </c>
      <c r="AB31" s="56" t="str">
        <f>IF(ISNUMBER(SEARCH(",",Table1[IND Mixture]))=TRUE, "TRUE", "FALSE")</f>
        <v>FALSE</v>
      </c>
      <c r="AC31" s="56" t="str">
        <f>IF(ISNUMBER(SEARCH(",",Table1[D Mixture]))=TRUE, "TRUE", "FALSE")</f>
        <v>FALSE</v>
      </c>
      <c r="AD31" s="56" t="str">
        <f>IF(COUNTIF(Table1[[#This Row],[ID Mixture]:[IND Mixture]],"*fent*")&gt;0,"TRUE","FALSE")</f>
        <v>FALSE</v>
      </c>
      <c r="AE31" s="56" t="str">
        <f>IF(COUNTIF(Table1[[#This Row],[ID Mixture]:[IND Mixture]],"*cocaine*")&gt;0,"TRUE","FALSE")</f>
        <v>TRUE</v>
      </c>
      <c r="AF31" s="56" t="str">
        <f>IF(ISNUMBER(SEARCH("residue",Table1[Description]))=TRUE, "TRUE", "FALSE")</f>
        <v>TRUE</v>
      </c>
    </row>
    <row r="32" spans="1:32" x14ac:dyDescent="0.2">
      <c r="A32" s="58" t="str">
        <f>Table1[[#This Row],[Invoice '#]]&amp;"-"&amp;Table1[[#This Row],[Item '#]]</f>
        <v>8089-2</v>
      </c>
      <c r="B32" s="50" t="s">
        <v>268</v>
      </c>
      <c r="C32" s="50" t="s">
        <v>281</v>
      </c>
      <c r="D32" s="50" t="s">
        <v>245</v>
      </c>
      <c r="E32" s="50" t="s">
        <v>222</v>
      </c>
      <c r="F32" s="50" t="s">
        <v>247</v>
      </c>
      <c r="G32" s="50" t="s">
        <v>248</v>
      </c>
      <c r="H32" s="50" t="s">
        <v>225</v>
      </c>
      <c r="I32" s="50" t="s">
        <v>225</v>
      </c>
      <c r="J32" s="50" t="s">
        <v>225</v>
      </c>
      <c r="K32" s="50" t="s">
        <v>249</v>
      </c>
      <c r="L32" s="50"/>
      <c r="M32" s="50"/>
      <c r="N32" s="50"/>
      <c r="O32" s="61" t="str">
        <f t="array" ref="O32">INDEX('Packaging Standards'!B$2:B$38,MATCH(TRUE,ISNUMBER(SEARCH('Packaging Standards'!A$2:A$38,Table1[[#This Row],[Packaging]])),0))</f>
        <v>Cigarette</v>
      </c>
      <c r="P32" s="54" t="str">
        <f>IF(ISNUMBER(MATCH(Table1[[#This Row],[Indicated Compounds]],Table2[Diluants],0))=TRUE,Table1[[#This Row],[Indicated Compounds]],"")</f>
        <v/>
      </c>
      <c r="Q32" s="54" t="str">
        <f>IF(ISBLANK(Table1[[#This Row],[Indicated Compounds]])=TRUE,"",IF(ISNUMBER(MATCH(Table1[[#This Row],[Indicated Compounds]],Table2[Diluants],0))=FALSE,Table1[[#This Row],[Indicated Compounds]],""))</f>
        <v/>
      </c>
      <c r="R32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2" s="55" t="str">
        <f>VLOOKUP(Table1[[#This Row],[Invoice + Item]],IDs!A:B,2,FALSE)</f>
        <v>Marihuana</v>
      </c>
      <c r="T32" s="56" t="str">
        <f>VLOOKUP(Table1[[#This Row],[Invoice + Item]],INDs!A:B,2,FALSE)</f>
        <v/>
      </c>
      <c r="U32" s="56" t="str">
        <f>VLOOKUP(Table1[[#This Row],[Invoice + Item]],Ds!A:B,2,FALSE)</f>
        <v/>
      </c>
      <c r="V32" s="56" t="str">
        <f>VLOOKUP(Table1[[#This Row],[Invoice + Item]],FENT!A:B,2,FALSE)</f>
        <v/>
      </c>
      <c r="W32" s="57" t="str">
        <f>VLOOKUP(Table1[[#This Row],[Invoice + Item]],FED!A:B,2,FALSE)</f>
        <v/>
      </c>
      <c r="X32" s="53" t="str">
        <f>VLOOKUP(Table1[[#This Row],[Invoice + Item]],FIS!A:B,2,FALSE)</f>
        <v/>
      </c>
      <c r="Y32" s="53" t="str">
        <f>MyConcat(Table1[[#This Row],[ID Mixture]:[D Mixture]])</f>
        <v>Marihuana</v>
      </c>
      <c r="Z32" s="53" t="str">
        <f>MyConcat(Table1[[#This Row],[ID Mixture]:[IND Mixture]])</f>
        <v>Marihuana</v>
      </c>
      <c r="AA32" s="56" t="str">
        <f>IF(ISNUMBER(SEARCH(",",Table1[ID Mixture]))=TRUE, "TRUE", "FALSE")</f>
        <v>FALSE</v>
      </c>
      <c r="AB32" s="56" t="str">
        <f>IF(ISNUMBER(SEARCH(",",Table1[IND Mixture]))=TRUE, "TRUE", "FALSE")</f>
        <v>FALSE</v>
      </c>
      <c r="AC32" s="56" t="str">
        <f>IF(ISNUMBER(SEARCH(",",Table1[D Mixture]))=TRUE, "TRUE", "FALSE")</f>
        <v>FALSE</v>
      </c>
      <c r="AD32" s="56" t="str">
        <f>IF(COUNTIF(Table1[[#This Row],[ID Mixture]:[IND Mixture]],"*fent*")&gt;0,"TRUE","FALSE")</f>
        <v>FALSE</v>
      </c>
      <c r="AE32" s="56" t="str">
        <f>IF(COUNTIF(Table1[[#This Row],[ID Mixture]:[IND Mixture]],"*cocaine*")&gt;0,"TRUE","FALSE")</f>
        <v>FALSE</v>
      </c>
      <c r="AF32" s="56" t="str">
        <f>IF(ISNUMBER(SEARCH("residue",Table1[Description]))=TRUE, "TRUE", "FALSE")</f>
        <v>FALSE</v>
      </c>
    </row>
    <row r="33" spans="1:32" x14ac:dyDescent="0.2">
      <c r="A33" s="58" t="str">
        <f>Table1[[#This Row],[Invoice '#]]&amp;"-"&amp;Table1[[#This Row],[Item '#]]</f>
        <v>8718-1</v>
      </c>
      <c r="B33" s="50" t="s">
        <v>269</v>
      </c>
      <c r="C33" s="50" t="s">
        <v>284</v>
      </c>
      <c r="D33" s="50" t="s">
        <v>222</v>
      </c>
      <c r="E33" s="50" t="s">
        <v>222</v>
      </c>
      <c r="F33" s="50" t="s">
        <v>223</v>
      </c>
      <c r="G33" s="50" t="s">
        <v>250</v>
      </c>
      <c r="H33" s="50" t="s">
        <v>225</v>
      </c>
      <c r="I33" s="50" t="s">
        <v>225</v>
      </c>
      <c r="J33" s="50" t="s">
        <v>225</v>
      </c>
      <c r="K33" s="50" t="s">
        <v>226</v>
      </c>
      <c r="L33" s="50"/>
      <c r="M33" s="50"/>
      <c r="N33" s="50"/>
      <c r="O33" s="60" t="str">
        <f t="array" ref="O33">INDEX('Packaging Standards'!B$2:B$38,MATCH(TRUE,ISNUMBER(SEARCH('Packaging Standards'!A$2:A$38,Table1[[#This Row],[Packaging]])),0))</f>
        <v>Pipe</v>
      </c>
      <c r="P33" s="54" t="str">
        <f>IF(ISNUMBER(MATCH(Table1[[#This Row],[Indicated Compounds]],Table2[Diluants],0))=TRUE,Table1[[#This Row],[Indicated Compounds]],"")</f>
        <v/>
      </c>
      <c r="Q33" s="54" t="str">
        <f>IF(ISBLANK(Table1[[#This Row],[Indicated Compounds]])=TRUE,"",IF(ISNUMBER(MATCH(Table1[[#This Row],[Indicated Compounds]],Table2[Diluants],0))=FALSE,Table1[[#This Row],[Indicated Compounds]],""))</f>
        <v/>
      </c>
      <c r="R33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3" s="55" t="str">
        <f>VLOOKUP(Table1[[#This Row],[Invoice + Item]],IDs!A:B,2,FALSE)</f>
        <v>Methamphetamine</v>
      </c>
      <c r="T33" s="56" t="str">
        <f>VLOOKUP(Table1[[#This Row],[Invoice + Item]],INDs!A:B,2,FALSE)</f>
        <v/>
      </c>
      <c r="U33" s="59" t="str">
        <f>VLOOKUP(Table1[[#This Row],[Invoice + Item]],Ds!A:B,2,FALSE)</f>
        <v/>
      </c>
      <c r="V33" s="59" t="str">
        <f>VLOOKUP(Table1[[#This Row],[Invoice + Item]],FENT!A:B,2,FALSE)</f>
        <v/>
      </c>
      <c r="W33" s="57" t="str">
        <f>VLOOKUP(Table1[[#This Row],[Invoice + Item]],FED!A:B,2,FALSE)</f>
        <v/>
      </c>
      <c r="X33" s="53" t="str">
        <f>VLOOKUP(Table1[[#This Row],[Invoice + Item]],FIS!A:B,2,FALSE)</f>
        <v/>
      </c>
      <c r="Y33" s="53" t="str">
        <f>MyConcat(Table1[[#This Row],[ID Mixture]:[D Mixture]])</f>
        <v>Methamphetamine</v>
      </c>
      <c r="Z33" s="53" t="str">
        <f>MyConcat(Table1[[#This Row],[ID Mixture]:[IND Mixture]])</f>
        <v>Methamphetamine</v>
      </c>
      <c r="AA33" s="56" t="str">
        <f>IF(ISNUMBER(SEARCH(",",Table1[ID Mixture]))=TRUE, "TRUE", "FALSE")</f>
        <v>FALSE</v>
      </c>
      <c r="AB33" s="56" t="str">
        <f>IF(ISNUMBER(SEARCH(",",Table1[IND Mixture]))=TRUE, "TRUE", "FALSE")</f>
        <v>FALSE</v>
      </c>
      <c r="AC33" s="56" t="str">
        <f>IF(ISNUMBER(SEARCH(",",Table1[D Mixture]))=TRUE, "TRUE", "FALSE")</f>
        <v>FALSE</v>
      </c>
      <c r="AD33" s="56" t="str">
        <f>IF(COUNTIF(Table1[[#This Row],[ID Mixture]:[IND Mixture]],"*fent*")&gt;0,"TRUE","FALSE")</f>
        <v>FALSE</v>
      </c>
      <c r="AE33" s="56" t="str">
        <f>IF(COUNTIF(Table1[[#This Row],[ID Mixture]:[IND Mixture]],"*cocaine*")&gt;0,"TRUE","FALSE")</f>
        <v>FALSE</v>
      </c>
      <c r="AF33" s="56" t="str">
        <f>IF(ISNUMBER(SEARCH("residue",Table1[Description]))=TRUE, "TRUE", "FALSE")</f>
        <v>TRUE</v>
      </c>
    </row>
    <row r="34" spans="1:32" x14ac:dyDescent="0.2">
      <c r="A34" s="58" t="str">
        <f>Table1[[#This Row],[Invoice '#]]&amp;"-"&amp;Table1[[#This Row],[Item '#]]</f>
        <v>8896-14</v>
      </c>
      <c r="B34" s="50" t="s">
        <v>270</v>
      </c>
      <c r="C34" s="50" t="s">
        <v>284</v>
      </c>
      <c r="D34" s="50" t="s">
        <v>251</v>
      </c>
      <c r="E34" s="50" t="s">
        <v>222</v>
      </c>
      <c r="F34" s="50" t="s">
        <v>242</v>
      </c>
      <c r="G34" s="50" t="s">
        <v>243</v>
      </c>
      <c r="H34" s="50" t="s">
        <v>225</v>
      </c>
      <c r="I34" s="50" t="s">
        <v>225</v>
      </c>
      <c r="J34" s="50" t="s">
        <v>225</v>
      </c>
      <c r="K34" s="50" t="s">
        <v>252</v>
      </c>
      <c r="L34" s="50"/>
      <c r="M34" s="50"/>
      <c r="N34" s="50"/>
      <c r="O34" s="53" t="str">
        <f t="array" ref="O34">INDEX('Packaging Standards'!B$2:B$38,MATCH(TRUE,ISNUMBER(SEARCH('Packaging Standards'!A$2:A$38,Table1[[#This Row],[Packaging]])),0))</f>
        <v>Bottle</v>
      </c>
      <c r="P34" s="54" t="str">
        <f>IF(ISNUMBER(MATCH(Table1[[#This Row],[Indicated Compounds]],Table2[Diluants],0))=TRUE,Table1[[#This Row],[Indicated Compounds]],"")</f>
        <v/>
      </c>
      <c r="Q34" s="54" t="str">
        <f>IF(ISBLANK(Table1[[#This Row],[Indicated Compounds]])=TRUE,"",IF(ISNUMBER(MATCH(Table1[[#This Row],[Indicated Compounds]],Table2[Diluants],0))=FALSE,Table1[[#This Row],[Indicated Compounds]],""))</f>
        <v/>
      </c>
      <c r="R34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4" s="55" t="str">
        <f>VLOOKUP(Table1[[#This Row],[Invoice + Item]],IDs!A:B,2,FALSE)</f>
        <v>Ketamine</v>
      </c>
      <c r="T34" s="56" t="str">
        <f>VLOOKUP(Table1[[#This Row],[Invoice + Item]],INDs!A:B,2,FALSE)</f>
        <v/>
      </c>
      <c r="U34" s="56" t="str">
        <f>VLOOKUP(Table1[[#This Row],[Invoice + Item]],Ds!A:B,2,FALSE)</f>
        <v/>
      </c>
      <c r="V34" s="56" t="str">
        <f>VLOOKUP(Table1[[#This Row],[Invoice + Item]],FENT!A:B,2,FALSE)</f>
        <v/>
      </c>
      <c r="W34" s="57" t="str">
        <f>VLOOKUP(Table1[[#This Row],[Invoice + Item]],FED!A:B,2,FALSE)</f>
        <v/>
      </c>
      <c r="X34" s="53" t="str">
        <f>VLOOKUP(Table1[[#This Row],[Invoice + Item]],FIS!A:B,2,FALSE)</f>
        <v/>
      </c>
      <c r="Y34" s="53" t="str">
        <f>MyConcat(Table1[[#This Row],[ID Mixture]:[D Mixture]])</f>
        <v>Ketamine</v>
      </c>
      <c r="Z34" s="53" t="str">
        <f>MyConcat(Table1[[#This Row],[ID Mixture]:[IND Mixture]])</f>
        <v>Ketamine</v>
      </c>
      <c r="AA34" s="56" t="str">
        <f>IF(ISNUMBER(SEARCH(",",Table1[ID Mixture]))=TRUE, "TRUE", "FALSE")</f>
        <v>FALSE</v>
      </c>
      <c r="AB34" s="56" t="str">
        <f>IF(ISNUMBER(SEARCH(",",Table1[IND Mixture]))=TRUE, "TRUE", "FALSE")</f>
        <v>FALSE</v>
      </c>
      <c r="AC34" s="56" t="str">
        <f>IF(ISNUMBER(SEARCH(",",Table1[D Mixture]))=TRUE, "TRUE", "FALSE")</f>
        <v>FALSE</v>
      </c>
      <c r="AD34" s="56" t="str">
        <f>IF(COUNTIF(Table1[[#This Row],[ID Mixture]:[IND Mixture]],"*fent*")&gt;0,"TRUE","FALSE")</f>
        <v>FALSE</v>
      </c>
      <c r="AE34" s="56" t="str">
        <f>IF(COUNTIF(Table1[[#This Row],[ID Mixture]:[IND Mixture]],"*cocaine*")&gt;0,"TRUE","FALSE")</f>
        <v>FALSE</v>
      </c>
      <c r="AF34" s="56" t="str">
        <f>IF(ISNUMBER(SEARCH("residue",Table1[Description]))=TRUE, "TRUE", "FALSE")</f>
        <v>FALSE</v>
      </c>
    </row>
    <row r="35" spans="1:32" x14ac:dyDescent="0.2">
      <c r="A35" s="58" t="str">
        <f>Table1[[#This Row],[Invoice '#]]&amp;"-"&amp;Table1[[#This Row],[Item '#]]</f>
        <v>8896-5A</v>
      </c>
      <c r="B35" s="50" t="s">
        <v>270</v>
      </c>
      <c r="C35" s="50" t="s">
        <v>284</v>
      </c>
      <c r="D35" s="50" t="s">
        <v>253</v>
      </c>
      <c r="E35" s="50" t="s">
        <v>222</v>
      </c>
      <c r="F35" s="50" t="s">
        <v>254</v>
      </c>
      <c r="G35" s="50" t="s">
        <v>232</v>
      </c>
      <c r="H35" s="50" t="s">
        <v>225</v>
      </c>
      <c r="I35" s="50" t="s">
        <v>225</v>
      </c>
      <c r="J35" s="50" t="s">
        <v>225</v>
      </c>
      <c r="K35" s="50" t="s">
        <v>252</v>
      </c>
      <c r="L35" s="50"/>
      <c r="M35" s="50"/>
      <c r="N35" s="50"/>
      <c r="O35" s="53" t="str">
        <f t="array" ref="O35">INDEX('Packaging Standards'!B$2:B$38,MATCH(TRUE,ISNUMBER(SEARCH('Packaging Standards'!A$2:A$38,Table1[[#This Row],[Packaging]])),0))</f>
        <v>Vial</v>
      </c>
      <c r="P35" s="54" t="str">
        <f>IF(ISNUMBER(MATCH(Table1[[#This Row],[Indicated Compounds]],Table2[Diluants],0))=TRUE,Table1[[#This Row],[Indicated Compounds]],"")</f>
        <v/>
      </c>
      <c r="Q35" s="54" t="str">
        <f>IF(ISBLANK(Table1[[#This Row],[Indicated Compounds]])=TRUE,"",IF(ISNUMBER(MATCH(Table1[[#This Row],[Indicated Compounds]],Table2[Diluants],0))=FALSE,Table1[[#This Row],[Indicated Compounds]],""))</f>
        <v/>
      </c>
      <c r="R35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5" s="55" t="str">
        <f>VLOOKUP(Table1[[#This Row],[Invoice + Item]],IDs!A:B,2,FALSE)</f>
        <v>Ketamine</v>
      </c>
      <c r="T35" s="56" t="str">
        <f>VLOOKUP(Table1[[#This Row],[Invoice + Item]],INDs!A:B,2,FALSE)</f>
        <v/>
      </c>
      <c r="U35" s="56" t="str">
        <f>VLOOKUP(Table1[[#This Row],[Invoice + Item]],Ds!A:B,2,FALSE)</f>
        <v/>
      </c>
      <c r="V35" s="56" t="str">
        <f>VLOOKUP(Table1[[#This Row],[Invoice + Item]],FENT!A:B,2,FALSE)</f>
        <v/>
      </c>
      <c r="W35" s="57" t="str">
        <f>VLOOKUP(Table1[[#This Row],[Invoice + Item]],FED!A:B,2,FALSE)</f>
        <v/>
      </c>
      <c r="X35" s="53" t="str">
        <f>VLOOKUP(Table1[[#This Row],[Invoice + Item]],FIS!A:B,2,FALSE)</f>
        <v/>
      </c>
      <c r="Y35" s="53" t="str">
        <f>MyConcat(Table1[[#This Row],[ID Mixture]:[D Mixture]])</f>
        <v>Ketamine</v>
      </c>
      <c r="Z35" s="53" t="str">
        <f>MyConcat(Table1[[#This Row],[ID Mixture]:[IND Mixture]])</f>
        <v>Ketamine</v>
      </c>
      <c r="AA35" s="56" t="str">
        <f>IF(ISNUMBER(SEARCH(",",Table1[ID Mixture]))=TRUE, "TRUE", "FALSE")</f>
        <v>FALSE</v>
      </c>
      <c r="AB35" s="56" t="str">
        <f>IF(ISNUMBER(SEARCH(",",Table1[IND Mixture]))=TRUE, "TRUE", "FALSE")</f>
        <v>FALSE</v>
      </c>
      <c r="AC35" s="56" t="str">
        <f>IF(ISNUMBER(SEARCH(",",Table1[D Mixture]))=TRUE, "TRUE", "FALSE")</f>
        <v>FALSE</v>
      </c>
      <c r="AD35" s="56" t="str">
        <f>IF(COUNTIF(Table1[[#This Row],[ID Mixture]:[IND Mixture]],"*fent*")&gt;0,"TRUE","FALSE")</f>
        <v>FALSE</v>
      </c>
      <c r="AE35" s="56" t="str">
        <f>IF(COUNTIF(Table1[[#This Row],[ID Mixture]:[IND Mixture]],"*cocaine*")&gt;0,"TRUE","FALSE")</f>
        <v>FALSE</v>
      </c>
      <c r="AF35" s="56" t="str">
        <f>IF(ISNUMBER(SEARCH("residue",Table1[Description]))=TRUE, "TRUE", "FALSE")</f>
        <v>FALSE</v>
      </c>
    </row>
    <row r="36" spans="1:32" x14ac:dyDescent="0.2">
      <c r="A36" s="58" t="str">
        <f>Table1[[#This Row],[Invoice '#]]&amp;"-"&amp;Table1[[#This Row],[Item '#]]</f>
        <v>8896-7</v>
      </c>
      <c r="B36" s="50" t="s">
        <v>270</v>
      </c>
      <c r="C36" s="50" t="s">
        <v>284</v>
      </c>
      <c r="D36" s="50" t="s">
        <v>255</v>
      </c>
      <c r="E36" s="50" t="s">
        <v>222</v>
      </c>
      <c r="F36" s="50" t="s">
        <v>246</v>
      </c>
      <c r="G36" s="50" t="s">
        <v>232</v>
      </c>
      <c r="H36" s="50" t="s">
        <v>225</v>
      </c>
      <c r="I36" s="50" t="s">
        <v>225</v>
      </c>
      <c r="J36" s="50" t="s">
        <v>225</v>
      </c>
      <c r="K36" s="50" t="s">
        <v>226</v>
      </c>
      <c r="L36" s="50"/>
      <c r="M36" s="50"/>
      <c r="N36" s="50"/>
      <c r="O36" s="53" t="str">
        <f t="array" ref="O36">INDEX('Packaging Standards'!B$2:B$38,MATCH(TRUE,ISNUMBER(SEARCH('Packaging Standards'!A$2:A$38,Table1[[#This Row],[Packaging]])),0))</f>
        <v>Container</v>
      </c>
      <c r="P36" s="54" t="str">
        <f>IF(ISNUMBER(MATCH(Table1[[#This Row],[Indicated Compounds]],Table2[Diluants],0))=TRUE,Table1[[#This Row],[Indicated Compounds]],"")</f>
        <v/>
      </c>
      <c r="Q36" s="54" t="str">
        <f>IF(ISBLANK(Table1[[#This Row],[Indicated Compounds]])=TRUE,"",IF(ISNUMBER(MATCH(Table1[[#This Row],[Indicated Compounds]],Table2[Diluants],0))=FALSE,Table1[[#This Row],[Indicated Compounds]],""))</f>
        <v/>
      </c>
      <c r="R36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6" s="55" t="str">
        <f>VLOOKUP(Table1[[#This Row],[Invoice + Item]],IDs!A:B,2,FALSE)</f>
        <v>Methamphetamine</v>
      </c>
      <c r="T36" s="56" t="str">
        <f>VLOOKUP(Table1[[#This Row],[Invoice + Item]],INDs!A:B,2,FALSE)</f>
        <v/>
      </c>
      <c r="U36" s="56" t="str">
        <f>VLOOKUP(Table1[[#This Row],[Invoice + Item]],Ds!A:B,2,FALSE)</f>
        <v/>
      </c>
      <c r="V36" s="56" t="str">
        <f>VLOOKUP(Table1[[#This Row],[Invoice + Item]],FENT!A:B,2,FALSE)</f>
        <v/>
      </c>
      <c r="W36" s="57" t="str">
        <f>VLOOKUP(Table1[[#This Row],[Invoice + Item]],FED!A:B,2,FALSE)</f>
        <v/>
      </c>
      <c r="X36" s="53" t="str">
        <f>VLOOKUP(Table1[[#This Row],[Invoice + Item]],FIS!A:B,2,FALSE)</f>
        <v/>
      </c>
      <c r="Y36" s="53" t="str">
        <f>MyConcat(Table1[[#This Row],[ID Mixture]:[D Mixture]])</f>
        <v>Methamphetamine</v>
      </c>
      <c r="Z36" s="53" t="str">
        <f>MyConcat(Table1[[#This Row],[ID Mixture]:[IND Mixture]])</f>
        <v>Methamphetamine</v>
      </c>
      <c r="AA36" s="56" t="str">
        <f>IF(ISNUMBER(SEARCH(",",Table1[ID Mixture]))=TRUE, "TRUE", "FALSE")</f>
        <v>FALSE</v>
      </c>
      <c r="AB36" s="56" t="str">
        <f>IF(ISNUMBER(SEARCH(",",Table1[IND Mixture]))=TRUE, "TRUE", "FALSE")</f>
        <v>FALSE</v>
      </c>
      <c r="AC36" s="56" t="str">
        <f>IF(ISNUMBER(SEARCH(",",Table1[D Mixture]))=TRUE, "TRUE", "FALSE")</f>
        <v>FALSE</v>
      </c>
      <c r="AD36" s="56" t="str">
        <f>IF(COUNTIF(Table1[[#This Row],[ID Mixture]:[IND Mixture]],"*fent*")&gt;0,"TRUE","FALSE")</f>
        <v>FALSE</v>
      </c>
      <c r="AE36" s="56" t="str">
        <f>IF(COUNTIF(Table1[[#This Row],[ID Mixture]:[IND Mixture]],"*cocaine*")&gt;0,"TRUE","FALSE")</f>
        <v>FALSE</v>
      </c>
      <c r="AF36" s="56" t="str">
        <f>IF(ISNUMBER(SEARCH("residue",Table1[Description]))=TRUE, "TRUE", "FALSE")</f>
        <v>FALSE</v>
      </c>
    </row>
    <row r="37" spans="1:32" x14ac:dyDescent="0.2">
      <c r="A37" s="58" t="str">
        <f>Table1[[#This Row],[Invoice '#]]&amp;"-"&amp;Table1[[#This Row],[Item '#]]</f>
        <v>9893-1</v>
      </c>
      <c r="B37" s="50" t="s">
        <v>271</v>
      </c>
      <c r="C37" s="50" t="s">
        <v>283</v>
      </c>
      <c r="D37" s="50" t="s">
        <v>222</v>
      </c>
      <c r="E37" s="50" t="s">
        <v>222</v>
      </c>
      <c r="F37" s="50" t="s">
        <v>231</v>
      </c>
      <c r="G37" s="50" t="s">
        <v>232</v>
      </c>
      <c r="H37" s="50" t="s">
        <v>225</v>
      </c>
      <c r="I37" s="50" t="s">
        <v>225</v>
      </c>
      <c r="J37" s="50" t="s">
        <v>225</v>
      </c>
      <c r="K37" s="50" t="s">
        <v>229</v>
      </c>
      <c r="L37" s="50"/>
      <c r="M37" s="50"/>
      <c r="N37" s="50"/>
      <c r="O37" s="53" t="str">
        <f t="array" ref="O37">INDEX('Packaging Standards'!B$2:B$38,MATCH(TRUE,ISNUMBER(SEARCH('Packaging Standards'!A$2:A$38,Table1[[#This Row],[Packaging]])),0))</f>
        <v>Glassine envelope</v>
      </c>
      <c r="P37" s="54" t="str">
        <f>IF(ISNUMBER(MATCH(Table1[[#This Row],[Indicated Compounds]],Table2[Diluants],0))=TRUE,Table1[[#This Row],[Indicated Compounds]],"")</f>
        <v/>
      </c>
      <c r="Q37" s="54" t="str">
        <f>IF(ISBLANK(Table1[[#This Row],[Indicated Compounds]])=TRUE,"",IF(ISNUMBER(MATCH(Table1[[#This Row],[Indicated Compounds]],Table2[Diluants],0))=FALSE,Table1[[#This Row],[Indicated Compounds]],""))</f>
        <v/>
      </c>
      <c r="R37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7" s="55" t="str">
        <f>VLOOKUP(Table1[[#This Row],[Invoice + Item]],IDs!A:B,2,FALSE)</f>
        <v>Heroin,Fentanyl</v>
      </c>
      <c r="T37" s="56" t="str">
        <f>VLOOKUP(Table1[[#This Row],[Invoice + Item]],INDs!A:B,2,FALSE)</f>
        <v/>
      </c>
      <c r="U37" s="56" t="str">
        <f>VLOOKUP(Table1[[#This Row],[Invoice + Item]],Ds!A:B,2,FALSE)</f>
        <v/>
      </c>
      <c r="V37" s="56" t="str">
        <f>VLOOKUP(Table1[[#This Row],[Invoice + Item]],FENT!A:B,2,FALSE)</f>
        <v>Fentanyl</v>
      </c>
      <c r="W37" s="57" t="str">
        <f>VLOOKUP(Table1[[#This Row],[Invoice + Item]],FED!A:B,2,FALSE)</f>
        <v/>
      </c>
      <c r="X37" s="53" t="str">
        <f>VLOOKUP(Table1[[#This Row],[Invoice + Item]],FIS!A:B,2,FALSE)</f>
        <v/>
      </c>
      <c r="Y37" s="53" t="str">
        <f>MyConcat(Table1[[#This Row],[ID Mixture]:[D Mixture]])</f>
        <v>Heroin,Fentanyl</v>
      </c>
      <c r="Z37" s="53" t="str">
        <f>MyConcat(Table1[[#This Row],[ID Mixture]:[IND Mixture]])</f>
        <v>Heroin,Fentanyl</v>
      </c>
      <c r="AA37" s="56" t="str">
        <f>IF(ISNUMBER(SEARCH(",",Table1[ID Mixture]))=TRUE, "TRUE", "FALSE")</f>
        <v>TRUE</v>
      </c>
      <c r="AB37" s="56" t="str">
        <f>IF(ISNUMBER(SEARCH(",",Table1[IND Mixture]))=TRUE, "TRUE", "FALSE")</f>
        <v>FALSE</v>
      </c>
      <c r="AC37" s="56" t="str">
        <f>IF(ISNUMBER(SEARCH(",",Table1[D Mixture]))=TRUE, "TRUE", "FALSE")</f>
        <v>FALSE</v>
      </c>
      <c r="AD37" s="56" t="str">
        <f>IF(COUNTIF(Table1[[#This Row],[ID Mixture]:[IND Mixture]],"*fent*")&gt;0,"TRUE","FALSE")</f>
        <v>TRUE</v>
      </c>
      <c r="AE37" s="56" t="str">
        <f>IF(COUNTIF(Table1[[#This Row],[ID Mixture]:[IND Mixture]],"*cocaine*")&gt;0,"TRUE","FALSE")</f>
        <v>FALSE</v>
      </c>
      <c r="AF37" s="56" t="str">
        <f>IF(ISNUMBER(SEARCH("residue",Table1[Description]))=TRUE, "TRUE", "FALSE")</f>
        <v>FALSE</v>
      </c>
    </row>
    <row r="38" spans="1:32" x14ac:dyDescent="0.2">
      <c r="A38" s="58" t="str">
        <f>Table1[[#This Row],[Invoice '#]]&amp;"-"&amp;Table1[[#This Row],[Item '#]]</f>
        <v>9893-1</v>
      </c>
      <c r="B38" s="51" t="s">
        <v>271</v>
      </c>
      <c r="C38" s="51" t="s">
        <v>283</v>
      </c>
      <c r="D38" s="51" t="s">
        <v>222</v>
      </c>
      <c r="E38" s="51" t="s">
        <v>222</v>
      </c>
      <c r="F38" s="51" t="s">
        <v>231</v>
      </c>
      <c r="G38" s="51" t="s">
        <v>232</v>
      </c>
      <c r="H38" s="50" t="s">
        <v>225</v>
      </c>
      <c r="I38" s="50" t="s">
        <v>225</v>
      </c>
      <c r="J38" s="50" t="s">
        <v>225</v>
      </c>
      <c r="K38" s="50" t="s">
        <v>20</v>
      </c>
      <c r="L38" s="51"/>
      <c r="M38" s="51"/>
      <c r="N38" s="51"/>
      <c r="O38" s="53" t="str">
        <f t="array" ref="O38">INDEX('Packaging Standards'!B$2:B$38,MATCH(TRUE,ISNUMBER(SEARCH('Packaging Standards'!A$2:A$38,Table1[[#This Row],[Packaging]])),0))</f>
        <v>Glassine envelope</v>
      </c>
      <c r="P38" s="54" t="str">
        <f>IF(ISNUMBER(MATCH(Table1[[#This Row],[Indicated Compounds]],Table2[Diluants],0))=TRUE,Table1[[#This Row],[Indicated Compounds]],"")</f>
        <v/>
      </c>
      <c r="Q38" s="54" t="str">
        <f>IF(ISBLANK(Table1[[#This Row],[Indicated Compounds]])=TRUE,"",IF(ISNUMBER(MATCH(Table1[[#This Row],[Indicated Compounds]],Table2[Diluants],0))=FALSE,Table1[[#This Row],[Indicated Compounds]],""))</f>
        <v/>
      </c>
      <c r="R38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38" s="55" t="str">
        <f>VLOOKUP(Table1[[#This Row],[Invoice + Item]],IDs!A:B,2,FALSE)</f>
        <v>Heroin,Fentanyl</v>
      </c>
      <c r="T38" s="56" t="str">
        <f>VLOOKUP(Table1[[#This Row],[Invoice + Item]],INDs!A:B,2,FALSE)</f>
        <v/>
      </c>
      <c r="U38" s="56" t="str">
        <f>VLOOKUP(Table1[[#This Row],[Invoice + Item]],Ds!A:B,2,FALSE)</f>
        <v/>
      </c>
      <c r="V38" s="56" t="str">
        <f>VLOOKUP(Table1[[#This Row],[Invoice + Item]],FENT!A:B,2,FALSE)</f>
        <v>Fentanyl</v>
      </c>
      <c r="W38" s="57" t="str">
        <f>VLOOKUP(Table1[[#This Row],[Invoice + Item]],FED!A:B,2,FALSE)</f>
        <v/>
      </c>
      <c r="X38" s="53" t="str">
        <f>VLOOKUP(Table1[[#This Row],[Invoice + Item]],FIS!A:B,2,FALSE)</f>
        <v/>
      </c>
      <c r="Y38" s="53" t="str">
        <f>MyConcat(Table1[[#This Row],[ID Mixture]:[D Mixture]])</f>
        <v>Heroin,Fentanyl</v>
      </c>
      <c r="Z38" s="53" t="str">
        <f>MyConcat(Table1[[#This Row],[ID Mixture]:[IND Mixture]])</f>
        <v>Heroin,Fentanyl</v>
      </c>
      <c r="AA38" s="56" t="str">
        <f>IF(ISNUMBER(SEARCH(",",Table1[ID Mixture]))=TRUE, "TRUE", "FALSE")</f>
        <v>TRUE</v>
      </c>
      <c r="AB38" s="56" t="str">
        <f>IF(ISNUMBER(SEARCH(",",Table1[IND Mixture]))=TRUE, "TRUE", "FALSE")</f>
        <v>FALSE</v>
      </c>
      <c r="AC38" s="56" t="str">
        <f>IF(ISNUMBER(SEARCH(",",Table1[D Mixture]))=TRUE, "TRUE", "FALSE")</f>
        <v>FALSE</v>
      </c>
      <c r="AD38" s="56" t="str">
        <f>IF(COUNTIF(Table1[[#This Row],[ID Mixture]:[IND Mixture]],"*fent*")&gt;0,"TRUE","FALSE")</f>
        <v>TRUE</v>
      </c>
      <c r="AE38" s="56" t="str">
        <f>IF(COUNTIF(Table1[[#This Row],[ID Mixture]:[IND Mixture]],"*cocaine*")&gt;0,"TRUE","FALSE")</f>
        <v>FALSE</v>
      </c>
      <c r="AF38" s="56" t="str">
        <f>IF(ISNUMBER(SEARCH("residue",Table1[Description]))=TRUE, "TRUE", "FALSE")</f>
        <v>FALSE</v>
      </c>
    </row>
    <row r="39" spans="1:32" x14ac:dyDescent="0.2">
      <c r="A39" s="58" t="str">
        <f>Table1[[#This Row],[Invoice '#]]&amp;"-"&amp;Table1[[#This Row],[Item '#]]</f>
        <v>0303-1</v>
      </c>
      <c r="B39" s="50" t="s">
        <v>272</v>
      </c>
      <c r="C39" s="50" t="s">
        <v>282</v>
      </c>
      <c r="D39" s="50" t="s">
        <v>222</v>
      </c>
      <c r="E39" s="50" t="s">
        <v>222</v>
      </c>
      <c r="F39" s="50" t="s">
        <v>223</v>
      </c>
      <c r="G39" s="50" t="s">
        <v>224</v>
      </c>
      <c r="H39" s="50" t="s">
        <v>225</v>
      </c>
      <c r="I39" s="50" t="s">
        <v>225</v>
      </c>
      <c r="J39" s="50" t="s">
        <v>225</v>
      </c>
      <c r="K39" s="50" t="s">
        <v>236</v>
      </c>
      <c r="L39" s="50"/>
      <c r="M39" s="50"/>
      <c r="N39" s="50"/>
      <c r="O39" s="53" t="str">
        <f t="array" ref="O39">INDEX('Packaging Standards'!B$2:B$38,MATCH(TRUE,ISNUMBER(SEARCH('Packaging Standards'!A$2:A$38,Table1[[#This Row],[Packaging]])),0))</f>
        <v>Pipe</v>
      </c>
      <c r="P39" s="54" t="str">
        <f>IF(ISNUMBER(MATCH(Table1[[#This Row],[Indicated Compounds]],Table2[Diluants],0))=TRUE,Table1[[#This Row],[Indicated Compounds]],"")</f>
        <v/>
      </c>
      <c r="Q39" s="54" t="str">
        <f>IF(ISBLANK(Table1[[#This Row],[Indicated Compounds]])=TRUE,"",IF(ISNUMBER(MATCH(Table1[[#This Row],[Indicated Compounds]],Table2[Diluants],0))=FALSE,Table1[[#This Row],[Indicated Compounds]],""))</f>
        <v/>
      </c>
      <c r="R39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39" s="55" t="str">
        <f>VLOOKUP(Table1[[#This Row],[Invoice + Item]],IDs!A:B,2,FALSE)</f>
        <v>Cocaine</v>
      </c>
      <c r="T39" s="56" t="str">
        <f>VLOOKUP(Table1[[#This Row],[Invoice + Item]],INDs!A:B,2,FALSE)</f>
        <v/>
      </c>
      <c r="U39" s="56" t="str">
        <f>VLOOKUP(Table1[[#This Row],[Invoice + Item]],Ds!A:B,2,FALSE)</f>
        <v/>
      </c>
      <c r="V39" s="56" t="str">
        <f>VLOOKUP(Table1[[#This Row],[Invoice + Item]],FENT!A:B,2,FALSE)</f>
        <v/>
      </c>
      <c r="W39" s="57" t="str">
        <f>VLOOKUP(Table1[[#This Row],[Invoice + Item]],FED!A:B,2,FALSE)</f>
        <v/>
      </c>
      <c r="X39" s="53" t="str">
        <f>VLOOKUP(Table1[[#This Row],[Invoice + Item]],FIS!A:B,2,FALSE)</f>
        <v/>
      </c>
      <c r="Y39" s="53" t="str">
        <f>MyConcat(Table1[[#This Row],[ID Mixture]:[D Mixture]])</f>
        <v>Cocaine</v>
      </c>
      <c r="Z39" s="53" t="str">
        <f>MyConcat(Table1[[#This Row],[ID Mixture]:[IND Mixture]])</f>
        <v>Cocaine</v>
      </c>
      <c r="AA39" s="56" t="str">
        <f>IF(ISNUMBER(SEARCH(",",Table1[ID Mixture]))=TRUE, "TRUE", "FALSE")</f>
        <v>FALSE</v>
      </c>
      <c r="AB39" s="56" t="str">
        <f>IF(ISNUMBER(SEARCH(",",Table1[IND Mixture]))=TRUE, "TRUE", "FALSE")</f>
        <v>FALSE</v>
      </c>
      <c r="AC39" s="56" t="str">
        <f>IF(ISNUMBER(SEARCH(",",Table1[D Mixture]))=TRUE, "TRUE", "FALSE")</f>
        <v>FALSE</v>
      </c>
      <c r="AD39" s="56" t="str">
        <f>IF(COUNTIF(Table1[[#This Row],[ID Mixture]:[IND Mixture]],"*fent*")&gt;0,"TRUE","FALSE")</f>
        <v>FALSE</v>
      </c>
      <c r="AE39" s="56" t="str">
        <f>IF(COUNTIF(Table1[[#This Row],[ID Mixture]:[IND Mixture]],"*cocaine*")&gt;0,"TRUE","FALSE")</f>
        <v>TRUE</v>
      </c>
      <c r="AF39" s="56" t="str">
        <f>IF(ISNUMBER(SEARCH("residue",Table1[Description]))=TRUE, "TRUE", "FALSE")</f>
        <v>TRUE</v>
      </c>
    </row>
    <row r="40" spans="1:32" x14ac:dyDescent="0.2">
      <c r="A40" s="58" t="str">
        <f>Table1[[#This Row],[Invoice '#]]&amp;"-"&amp;Table1[[#This Row],[Item '#]]</f>
        <v>0303-2A</v>
      </c>
      <c r="B40" s="51" t="s">
        <v>272</v>
      </c>
      <c r="C40" s="51" t="s">
        <v>282</v>
      </c>
      <c r="D40" s="51" t="s">
        <v>239</v>
      </c>
      <c r="E40" s="51" t="s">
        <v>222</v>
      </c>
      <c r="F40" s="51" t="s">
        <v>228</v>
      </c>
      <c r="G40" s="51" t="s">
        <v>224</v>
      </c>
      <c r="H40" s="50" t="s">
        <v>225</v>
      </c>
      <c r="I40" s="50" t="s">
        <v>225</v>
      </c>
      <c r="J40" s="50" t="s">
        <v>225</v>
      </c>
      <c r="K40" s="50" t="s">
        <v>229</v>
      </c>
      <c r="L40" s="51"/>
      <c r="M40" s="51"/>
      <c r="N40" s="51"/>
      <c r="O40" s="53" t="str">
        <f t="array" ref="O40">INDEX('Packaging Standards'!B$2:B$38,MATCH(TRUE,ISNUMBER(SEARCH('Packaging Standards'!A$2:A$38,Table1[[#This Row],[Packaging]])),0))</f>
        <v>Glassine envelope</v>
      </c>
      <c r="P40" s="54" t="str">
        <f>IF(ISNUMBER(MATCH(Table1[[#This Row],[Indicated Compounds]],Table2[Diluants],0))=TRUE,Table1[[#This Row],[Indicated Compounds]],"")</f>
        <v/>
      </c>
      <c r="Q40" s="54" t="str">
        <f>IF(ISBLANK(Table1[[#This Row],[Indicated Compounds]])=TRUE,"",IF(ISNUMBER(MATCH(Table1[[#This Row],[Indicated Compounds]],Table2[Diluants],0))=FALSE,Table1[[#This Row],[Indicated Compounds]],""))</f>
        <v/>
      </c>
      <c r="R40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0" s="55" t="str">
        <f>VLOOKUP(Table1[[#This Row],[Invoice + Item]],IDs!A:B,2,FALSE)</f>
        <v>Heroin,Cocaine</v>
      </c>
      <c r="T40" s="56" t="str">
        <f>VLOOKUP(Table1[[#This Row],[Invoice + Item]],INDs!A:B,2,FALSE)</f>
        <v/>
      </c>
      <c r="U40" s="56" t="str">
        <f>VLOOKUP(Table1[[#This Row],[Invoice + Item]],Ds!A:B,2,FALSE)</f>
        <v>Procaine</v>
      </c>
      <c r="V40" s="56" t="str">
        <f>VLOOKUP(Table1[[#This Row],[Invoice + Item]],FENT!A:B,2,FALSE)</f>
        <v/>
      </c>
      <c r="W40" s="57" t="str">
        <f>VLOOKUP(Table1[[#This Row],[Invoice + Item]],FED!A:B,2,FALSE)</f>
        <v/>
      </c>
      <c r="X40" s="53" t="str">
        <f>VLOOKUP(Table1[[#This Row],[Invoice + Item]],FIS!A:B,2,FALSE)</f>
        <v/>
      </c>
      <c r="Y40" s="53" t="str">
        <f>MyConcat(Table1[[#This Row],[ID Mixture]:[D Mixture]])</f>
        <v>Heroin,Cocaine,Procaine</v>
      </c>
      <c r="Z40" s="53" t="str">
        <f>MyConcat(Table1[[#This Row],[ID Mixture]:[IND Mixture]])</f>
        <v>Heroin,Cocaine</v>
      </c>
      <c r="AA40" s="56" t="str">
        <f>IF(ISNUMBER(SEARCH(",",Table1[ID Mixture]))=TRUE, "TRUE", "FALSE")</f>
        <v>TRUE</v>
      </c>
      <c r="AB40" s="56" t="str">
        <f>IF(ISNUMBER(SEARCH(",",Table1[IND Mixture]))=TRUE, "TRUE", "FALSE")</f>
        <v>FALSE</v>
      </c>
      <c r="AC40" s="56" t="str">
        <f>IF(ISNUMBER(SEARCH(",",Table1[D Mixture]))=TRUE, "TRUE", "FALSE")</f>
        <v>FALSE</v>
      </c>
      <c r="AD40" s="56" t="str">
        <f>IF(COUNTIF(Table1[[#This Row],[ID Mixture]:[IND Mixture]],"*fent*")&gt;0,"TRUE","FALSE")</f>
        <v>FALSE</v>
      </c>
      <c r="AE40" s="56" t="str">
        <f>IF(COUNTIF(Table1[[#This Row],[ID Mixture]:[IND Mixture]],"*cocaine*")&gt;0,"TRUE","FALSE")</f>
        <v>TRUE</v>
      </c>
      <c r="AF40" s="56" t="str">
        <f>IF(ISNUMBER(SEARCH("residue",Table1[Description]))=TRUE, "TRUE", "FALSE")</f>
        <v>TRUE</v>
      </c>
    </row>
    <row r="41" spans="1:32" x14ac:dyDescent="0.2">
      <c r="A41" s="58" t="str">
        <f>Table1[[#This Row],[Invoice '#]]&amp;"-"&amp;Table1[[#This Row],[Item '#]]</f>
        <v>0303-2A</v>
      </c>
      <c r="B41" s="50" t="s">
        <v>272</v>
      </c>
      <c r="C41" s="50" t="s">
        <v>282</v>
      </c>
      <c r="D41" s="50" t="s">
        <v>239</v>
      </c>
      <c r="E41" s="50" t="s">
        <v>222</v>
      </c>
      <c r="F41" s="50" t="s">
        <v>228</v>
      </c>
      <c r="G41" s="50" t="s">
        <v>224</v>
      </c>
      <c r="H41" s="50" t="s">
        <v>225</v>
      </c>
      <c r="I41" s="50" t="s">
        <v>225</v>
      </c>
      <c r="J41" s="50" t="s">
        <v>225</v>
      </c>
      <c r="K41" s="50" t="s">
        <v>236</v>
      </c>
      <c r="L41" s="50" t="s">
        <v>21</v>
      </c>
      <c r="M41" s="50"/>
      <c r="N41" s="50"/>
      <c r="O41" s="53" t="str">
        <f t="array" ref="O41">INDEX('Packaging Standards'!B$2:B$38,MATCH(TRUE,ISNUMBER(SEARCH('Packaging Standards'!A$2:A$38,Table1[[#This Row],[Packaging]])),0))</f>
        <v>Glassine envelope</v>
      </c>
      <c r="P41" s="54" t="str">
        <f>IF(ISNUMBER(MATCH(Table1[[#This Row],[Indicated Compounds]],Table2[Diluants],0))=TRUE,Table1[[#This Row],[Indicated Compounds]],"")</f>
        <v>Procaine</v>
      </c>
      <c r="Q41" s="54" t="str">
        <f>IF(ISBLANK(Table1[[#This Row],[Indicated Compounds]])=TRUE,"",IF(ISNUMBER(MATCH(Table1[[#This Row],[Indicated Compounds]],Table2[Diluants],0))=FALSE,Table1[[#This Row],[Indicated Compounds]],""))</f>
        <v/>
      </c>
      <c r="R41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1" s="55" t="str">
        <f>VLOOKUP(Table1[[#This Row],[Invoice + Item]],IDs!A:B,2,FALSE)</f>
        <v>Heroin,Cocaine</v>
      </c>
      <c r="T41" s="56" t="str">
        <f>VLOOKUP(Table1[[#This Row],[Invoice + Item]],INDs!A:B,2,FALSE)</f>
        <v/>
      </c>
      <c r="U41" s="56" t="str">
        <f>VLOOKUP(Table1[[#This Row],[Invoice + Item]],Ds!A:B,2,FALSE)</f>
        <v>Procaine</v>
      </c>
      <c r="V41" s="56" t="str">
        <f>VLOOKUP(Table1[[#This Row],[Invoice + Item]],FENT!A:B,2,FALSE)</f>
        <v/>
      </c>
      <c r="W41" s="57" t="str">
        <f>VLOOKUP(Table1[[#This Row],[Invoice + Item]],FED!A:B,2,FALSE)</f>
        <v/>
      </c>
      <c r="X41" s="53" t="str">
        <f>VLOOKUP(Table1[[#This Row],[Invoice + Item]],FIS!A:B,2,FALSE)</f>
        <v/>
      </c>
      <c r="Y41" s="53" t="str">
        <f>MyConcat(Table1[[#This Row],[ID Mixture]:[D Mixture]])</f>
        <v>Heroin,Cocaine,Procaine</v>
      </c>
      <c r="Z41" s="53" t="str">
        <f>MyConcat(Table1[[#This Row],[ID Mixture]:[IND Mixture]])</f>
        <v>Heroin,Cocaine</v>
      </c>
      <c r="AA41" s="56" t="str">
        <f>IF(ISNUMBER(SEARCH(",",Table1[ID Mixture]))=TRUE, "TRUE", "FALSE")</f>
        <v>TRUE</v>
      </c>
      <c r="AB41" s="56" t="str">
        <f>IF(ISNUMBER(SEARCH(",",Table1[IND Mixture]))=TRUE, "TRUE", "FALSE")</f>
        <v>FALSE</v>
      </c>
      <c r="AC41" s="56" t="str">
        <f>IF(ISNUMBER(SEARCH(",",Table1[D Mixture]))=TRUE, "TRUE", "FALSE")</f>
        <v>FALSE</v>
      </c>
      <c r="AD41" s="56" t="str">
        <f>IF(COUNTIF(Table1[[#This Row],[ID Mixture]:[IND Mixture]],"*fent*")&gt;0,"TRUE","FALSE")</f>
        <v>FALSE</v>
      </c>
      <c r="AE41" s="56" t="str">
        <f>IF(COUNTIF(Table1[[#This Row],[ID Mixture]:[IND Mixture]],"*cocaine*")&gt;0,"TRUE","FALSE")</f>
        <v>TRUE</v>
      </c>
      <c r="AF41" s="56" t="str">
        <f>IF(ISNUMBER(SEARCH("residue",Table1[Description]))=TRUE, "TRUE", "FALSE")</f>
        <v>TRUE</v>
      </c>
    </row>
    <row r="42" spans="1:32" x14ac:dyDescent="0.2">
      <c r="A42" s="58" t="str">
        <f>Table1[[#This Row],[Invoice '#]]&amp;"-"&amp;Table1[[#This Row],[Item '#]]</f>
        <v>0303-2B</v>
      </c>
      <c r="B42" s="51" t="s">
        <v>272</v>
      </c>
      <c r="C42" s="51" t="s">
        <v>282</v>
      </c>
      <c r="D42" s="51" t="s">
        <v>256</v>
      </c>
      <c r="E42" s="51" t="s">
        <v>222</v>
      </c>
      <c r="F42" s="51" t="s">
        <v>231</v>
      </c>
      <c r="G42" s="51" t="s">
        <v>224</v>
      </c>
      <c r="H42" s="50" t="s">
        <v>225</v>
      </c>
      <c r="I42" s="50" t="s">
        <v>225</v>
      </c>
      <c r="J42" s="50" t="s">
        <v>225</v>
      </c>
      <c r="K42" s="51"/>
      <c r="L42" s="50" t="s">
        <v>16</v>
      </c>
      <c r="M42" s="51"/>
      <c r="N42" s="51"/>
      <c r="O42" s="53" t="str">
        <f t="array" ref="O42">INDEX('Packaging Standards'!B$2:B$38,MATCH(TRUE,ISNUMBER(SEARCH('Packaging Standards'!A$2:A$38,Table1[[#This Row],[Packaging]])),0))</f>
        <v>Glassine envelope</v>
      </c>
      <c r="P42" s="54" t="str">
        <f>IF(ISNUMBER(MATCH(Table1[[#This Row],[Indicated Compounds]],Table2[Diluants],0))=TRUE,Table1[[#This Row],[Indicated Compounds]],"")</f>
        <v>Noscapine</v>
      </c>
      <c r="Q42" s="54" t="str">
        <f>IF(ISBLANK(Table1[[#This Row],[Indicated Compounds]])=TRUE,"",IF(ISNUMBER(MATCH(Table1[[#This Row],[Indicated Compounds]],Table2[Diluants],0))=FALSE,Table1[[#This Row],[Indicated Compounds]],""))</f>
        <v/>
      </c>
      <c r="R42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2" s="55" t="str">
        <f>VLOOKUP(Table1[[#This Row],[Invoice + Item]],IDs!A:B,2,FALSE)</f>
        <v>Heroin,Tramadol,Fentanyl</v>
      </c>
      <c r="T42" s="56" t="str">
        <f>VLOOKUP(Table1[[#This Row],[Invoice + Item]],INDs!A:B,2,FALSE)</f>
        <v/>
      </c>
      <c r="U42" s="56" t="str">
        <f>VLOOKUP(Table1[[#This Row],[Invoice + Item]],Ds!A:B,2,FALSE)</f>
        <v>Noscapine,Phenacetin,Quinine,Caffeine</v>
      </c>
      <c r="V42" s="56" t="str">
        <f>VLOOKUP(Table1[[#This Row],[Invoice + Item]],FENT!A:B,2,FALSE)</f>
        <v>Fentanyl</v>
      </c>
      <c r="W42" s="57" t="str">
        <f>VLOOKUP(Table1[[#This Row],[Invoice + Item]],FED!A:B,2,FALSE)</f>
        <v/>
      </c>
      <c r="X42" s="53" t="str">
        <f>VLOOKUP(Table1[[#This Row],[Invoice + Item]],FIS!A:B,2,FALSE)</f>
        <v>Cocaine</v>
      </c>
      <c r="Y42" s="53" t="str">
        <f>MyConcat(Table1[[#This Row],[ID Mixture]:[D Mixture]])</f>
        <v>Heroin,Tramadol,Fentanyl,Noscapine,Phenacetin,Quinine,Caffeine</v>
      </c>
      <c r="Z42" s="53" t="str">
        <f>MyConcat(Table1[[#This Row],[ID Mixture]:[IND Mixture]])</f>
        <v>Heroin,Tramadol,Fentanyl</v>
      </c>
      <c r="AA42" s="56" t="str">
        <f>IF(ISNUMBER(SEARCH(",",Table1[ID Mixture]))=TRUE, "TRUE", "FALSE")</f>
        <v>TRUE</v>
      </c>
      <c r="AB42" s="56" t="str">
        <f>IF(ISNUMBER(SEARCH(",",Table1[IND Mixture]))=TRUE, "TRUE", "FALSE")</f>
        <v>FALSE</v>
      </c>
      <c r="AC42" s="56" t="str">
        <f>IF(ISNUMBER(SEARCH(",",Table1[D Mixture]))=TRUE, "TRUE", "FALSE")</f>
        <v>TRUE</v>
      </c>
      <c r="AD42" s="56" t="str">
        <f>IF(COUNTIF(Table1[[#This Row],[ID Mixture]:[IND Mixture]],"*fent*")&gt;0,"TRUE","FALSE")</f>
        <v>TRUE</v>
      </c>
      <c r="AE42" s="56" t="str">
        <f>IF(COUNTIF(Table1[[#This Row],[ID Mixture]:[IND Mixture]],"*cocaine*")&gt;0,"TRUE","FALSE")</f>
        <v>FALSE</v>
      </c>
      <c r="AF42" s="56" t="str">
        <f>IF(ISNUMBER(SEARCH("residue",Table1[Description]))=TRUE, "TRUE", "FALSE")</f>
        <v>TRUE</v>
      </c>
    </row>
    <row r="43" spans="1:32" x14ac:dyDescent="0.2">
      <c r="A43" s="58" t="str">
        <f>Table1[[#This Row],[Invoice '#]]&amp;"-"&amp;Table1[[#This Row],[Item '#]]</f>
        <v>0303-2B</v>
      </c>
      <c r="B43" s="50" t="s">
        <v>272</v>
      </c>
      <c r="C43" s="50" t="s">
        <v>282</v>
      </c>
      <c r="D43" s="50" t="s">
        <v>256</v>
      </c>
      <c r="E43" s="50" t="s">
        <v>222</v>
      </c>
      <c r="F43" s="50" t="s">
        <v>231</v>
      </c>
      <c r="G43" s="50" t="s">
        <v>224</v>
      </c>
      <c r="H43" s="50" t="s">
        <v>225</v>
      </c>
      <c r="I43" s="50" t="s">
        <v>225</v>
      </c>
      <c r="J43" s="50" t="s">
        <v>225</v>
      </c>
      <c r="K43" s="50" t="s">
        <v>229</v>
      </c>
      <c r="L43" s="50" t="s">
        <v>14</v>
      </c>
      <c r="M43" s="50"/>
      <c r="N43" s="50" t="s">
        <v>236</v>
      </c>
      <c r="O43" s="53" t="str">
        <f t="array" ref="O43">INDEX('Packaging Standards'!B$2:B$38,MATCH(TRUE,ISNUMBER(SEARCH('Packaging Standards'!A$2:A$38,Table1[[#This Row],[Packaging]])),0))</f>
        <v>Glassine envelope</v>
      </c>
      <c r="P43" s="54" t="str">
        <f>IF(ISNUMBER(MATCH(Table1[[#This Row],[Indicated Compounds]],Table2[Diluants],0))=TRUE,Table1[[#This Row],[Indicated Compounds]],"")</f>
        <v>Phenacetin</v>
      </c>
      <c r="Q43" s="54" t="str">
        <f>IF(ISBLANK(Table1[[#This Row],[Indicated Compounds]])=TRUE,"",IF(ISNUMBER(MATCH(Table1[[#This Row],[Indicated Compounds]],Table2[Diluants],0))=FALSE,Table1[[#This Row],[Indicated Compounds]],""))</f>
        <v/>
      </c>
      <c r="R43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3" s="55" t="str">
        <f>VLOOKUP(Table1[[#This Row],[Invoice + Item]],IDs!A:B,2,FALSE)</f>
        <v>Heroin,Tramadol,Fentanyl</v>
      </c>
      <c r="T43" s="56" t="str">
        <f>VLOOKUP(Table1[[#This Row],[Invoice + Item]],INDs!A:B,2,FALSE)</f>
        <v/>
      </c>
      <c r="U43" s="56" t="str">
        <f>VLOOKUP(Table1[[#This Row],[Invoice + Item]],Ds!A:B,2,FALSE)</f>
        <v>Noscapine,Phenacetin,Quinine,Caffeine</v>
      </c>
      <c r="V43" s="56" t="str">
        <f>VLOOKUP(Table1[[#This Row],[Invoice + Item]],FENT!A:B,2,FALSE)</f>
        <v>Fentanyl</v>
      </c>
      <c r="W43" s="57" t="str">
        <f>VLOOKUP(Table1[[#This Row],[Invoice + Item]],FED!A:B,2,FALSE)</f>
        <v/>
      </c>
      <c r="X43" s="53" t="str">
        <f>VLOOKUP(Table1[[#This Row],[Invoice + Item]],FIS!A:B,2,FALSE)</f>
        <v>Cocaine</v>
      </c>
      <c r="Y43" s="53" t="str">
        <f>MyConcat(Table1[[#This Row],[ID Mixture]:[D Mixture]])</f>
        <v>Heroin,Tramadol,Fentanyl,Noscapine,Phenacetin,Quinine,Caffeine</v>
      </c>
      <c r="Z43" s="53" t="str">
        <f>MyConcat(Table1[[#This Row],[ID Mixture]:[IND Mixture]])</f>
        <v>Heroin,Tramadol,Fentanyl</v>
      </c>
      <c r="AA43" s="56" t="str">
        <f>IF(ISNUMBER(SEARCH(",",Table1[ID Mixture]))=TRUE, "TRUE", "FALSE")</f>
        <v>TRUE</v>
      </c>
      <c r="AB43" s="56" t="str">
        <f>IF(ISNUMBER(SEARCH(",",Table1[IND Mixture]))=TRUE, "TRUE", "FALSE")</f>
        <v>FALSE</v>
      </c>
      <c r="AC43" s="56" t="str">
        <f>IF(ISNUMBER(SEARCH(",",Table1[D Mixture]))=TRUE, "TRUE", "FALSE")</f>
        <v>TRUE</v>
      </c>
      <c r="AD43" s="56" t="str">
        <f>IF(COUNTIF(Table1[[#This Row],[ID Mixture]:[IND Mixture]],"*fent*")&gt;0,"TRUE","FALSE")</f>
        <v>TRUE</v>
      </c>
      <c r="AE43" s="56" t="str">
        <f>IF(COUNTIF(Table1[[#This Row],[ID Mixture]:[IND Mixture]],"*cocaine*")&gt;0,"TRUE","FALSE")</f>
        <v>FALSE</v>
      </c>
      <c r="AF43" s="56" t="str">
        <f>IF(ISNUMBER(SEARCH("residue",Table1[Description]))=TRUE, "TRUE", "FALSE")</f>
        <v>TRUE</v>
      </c>
    </row>
    <row r="44" spans="1:32" x14ac:dyDescent="0.2">
      <c r="A44" s="58" t="str">
        <f>Table1[[#This Row],[Invoice '#]]&amp;"-"&amp;Table1[[#This Row],[Item '#]]</f>
        <v>0303-2B</v>
      </c>
      <c r="B44" s="51" t="s">
        <v>272</v>
      </c>
      <c r="C44" s="51" t="s">
        <v>282</v>
      </c>
      <c r="D44" s="51" t="s">
        <v>256</v>
      </c>
      <c r="E44" s="51" t="s">
        <v>222</v>
      </c>
      <c r="F44" s="51" t="s">
        <v>231</v>
      </c>
      <c r="G44" s="51" t="s">
        <v>224</v>
      </c>
      <c r="H44" s="50" t="s">
        <v>225</v>
      </c>
      <c r="I44" s="50" t="s">
        <v>225</v>
      </c>
      <c r="J44" s="50" t="s">
        <v>225</v>
      </c>
      <c r="K44" s="50" t="s">
        <v>233</v>
      </c>
      <c r="L44" s="50" t="s">
        <v>19</v>
      </c>
      <c r="M44" s="51"/>
      <c r="N44" s="51"/>
      <c r="O44" s="53" t="str">
        <f t="array" ref="O44">INDEX('Packaging Standards'!B$2:B$38,MATCH(TRUE,ISNUMBER(SEARCH('Packaging Standards'!A$2:A$38,Table1[[#This Row],[Packaging]])),0))</f>
        <v>Glassine envelope</v>
      </c>
      <c r="P44" s="54" t="str">
        <f>IF(ISNUMBER(MATCH(Table1[[#This Row],[Indicated Compounds]],Table2[Diluants],0))=TRUE,Table1[[#This Row],[Indicated Compounds]],"")</f>
        <v>Quinine</v>
      </c>
      <c r="Q44" s="54" t="str">
        <f>IF(ISBLANK(Table1[[#This Row],[Indicated Compounds]])=TRUE,"",IF(ISNUMBER(MATCH(Table1[[#This Row],[Indicated Compounds]],Table2[Diluants],0))=FALSE,Table1[[#This Row],[Indicated Compounds]],""))</f>
        <v/>
      </c>
      <c r="R44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/>
      </c>
      <c r="S44" s="55" t="str">
        <f>VLOOKUP(Table1[[#This Row],[Invoice + Item]],IDs!A:B,2,FALSE)</f>
        <v>Heroin,Tramadol,Fentanyl</v>
      </c>
      <c r="T44" s="56" t="str">
        <f>VLOOKUP(Table1[[#This Row],[Invoice + Item]],INDs!A:B,2,FALSE)</f>
        <v/>
      </c>
      <c r="U44" s="56" t="str">
        <f>VLOOKUP(Table1[[#This Row],[Invoice + Item]],Ds!A:B,2,FALSE)</f>
        <v>Noscapine,Phenacetin,Quinine,Caffeine</v>
      </c>
      <c r="V44" s="56" t="str">
        <f>VLOOKUP(Table1[[#This Row],[Invoice + Item]],FENT!A:B,2,FALSE)</f>
        <v>Fentanyl</v>
      </c>
      <c r="W44" s="57" t="str">
        <f>VLOOKUP(Table1[[#This Row],[Invoice + Item]],FED!A:B,2,FALSE)</f>
        <v/>
      </c>
      <c r="X44" s="53" t="str">
        <f>VLOOKUP(Table1[[#This Row],[Invoice + Item]],FIS!A:B,2,FALSE)</f>
        <v>Cocaine</v>
      </c>
      <c r="Y44" s="53" t="str">
        <f>MyConcat(Table1[[#This Row],[ID Mixture]:[D Mixture]])</f>
        <v>Heroin,Tramadol,Fentanyl,Noscapine,Phenacetin,Quinine,Caffeine</v>
      </c>
      <c r="Z44" s="53" t="str">
        <f>MyConcat(Table1[[#This Row],[ID Mixture]:[IND Mixture]])</f>
        <v>Heroin,Tramadol,Fentanyl</v>
      </c>
      <c r="AA44" s="56" t="str">
        <f>IF(ISNUMBER(SEARCH(",",Table1[ID Mixture]))=TRUE, "TRUE", "FALSE")</f>
        <v>TRUE</v>
      </c>
      <c r="AB44" s="56" t="str">
        <f>IF(ISNUMBER(SEARCH(",",Table1[IND Mixture]))=TRUE, "TRUE", "FALSE")</f>
        <v>FALSE</v>
      </c>
      <c r="AC44" s="56" t="str">
        <f>IF(ISNUMBER(SEARCH(",",Table1[D Mixture]))=TRUE, "TRUE", "FALSE")</f>
        <v>TRUE</v>
      </c>
      <c r="AD44" s="56" t="str">
        <f>IF(COUNTIF(Table1[[#This Row],[ID Mixture]:[IND Mixture]],"*fent*")&gt;0,"TRUE","FALSE")</f>
        <v>TRUE</v>
      </c>
      <c r="AE44" s="56" t="str">
        <f>IF(COUNTIF(Table1[[#This Row],[ID Mixture]:[IND Mixture]],"*cocaine*")&gt;0,"TRUE","FALSE")</f>
        <v>FALSE</v>
      </c>
      <c r="AF44" s="56" t="str">
        <f>IF(ISNUMBER(SEARCH("residue",Table1[Description]))=TRUE, "TRUE", "FALSE")</f>
        <v>TRUE</v>
      </c>
    </row>
    <row r="45" spans="1:32" x14ac:dyDescent="0.2">
      <c r="A45" s="58" t="str">
        <f>Table1[[#This Row],[Invoice '#]]&amp;"-"&amp;Table1[[#This Row],[Item '#]]</f>
        <v>0303-2B</v>
      </c>
      <c r="B45" s="51" t="s">
        <v>272</v>
      </c>
      <c r="C45" s="51" t="s">
        <v>282</v>
      </c>
      <c r="D45" s="51" t="s">
        <v>256</v>
      </c>
      <c r="E45" s="51" t="s">
        <v>222</v>
      </c>
      <c r="F45" s="51" t="s">
        <v>231</v>
      </c>
      <c r="G45" s="51" t="s">
        <v>224</v>
      </c>
      <c r="H45" s="50" t="s">
        <v>225</v>
      </c>
      <c r="I45" s="50" t="s">
        <v>225</v>
      </c>
      <c r="J45" s="50" t="s">
        <v>225</v>
      </c>
      <c r="K45" s="50" t="s">
        <v>20</v>
      </c>
      <c r="L45" s="50" t="s">
        <v>22</v>
      </c>
      <c r="M45" s="51"/>
      <c r="N45" s="51"/>
      <c r="O45" s="53" t="str">
        <f t="array" ref="O45">INDEX('Packaging Standards'!B$2:B$38,MATCH(TRUE,ISNUMBER(SEARCH('Packaging Standards'!A$2:A$38,Table1[[#This Row],[Packaging]])),0))</f>
        <v>Glassine envelope</v>
      </c>
      <c r="P45" s="54" t="str">
        <f>IF(ISNUMBER(MATCH(Table1[[#This Row],[Indicated Compounds]],Table2[Diluants],0))=TRUE,Table1[[#This Row],[Indicated Compounds]],"")</f>
        <v>Caffeine</v>
      </c>
      <c r="Q45" s="54" t="str">
        <f>IF(ISBLANK(Table1[[#This Row],[Indicated Compounds]])=TRUE,"",IF(ISNUMBER(MATCH(Table1[[#This Row],[Indicated Compounds]],Table2[Diluants],0))=FALSE,Table1[[#This Row],[Indicated Compounds]],""))</f>
        <v/>
      </c>
      <c r="R45" s="54" t="str">
        <f>IF(AND(ISNUMBER(MATCH("*fent*",Table1[[#This Row],[Indicated Compounds]],0))=TRUE,ISNUMBER(MATCH("*fent*",Table1[[#This Row],[IDed Compounds]],0))=TRUE)=TRUE,MyConcat(Table1[[#This Row],[IDed Compounds]:[Indicated Compounds]]),IF(ISNUMBER(MATCH("*fent*",Table1[[#This Row],[Indicated Compounds]],0))=TRUE,Table1[[#This Row],[Indicated Compounds]],IF(ISNUMBER(MATCH("*fent*",Table1[[#This Row],[IDed Compounds]],0))=TRUE,Table1[[#This Row],[IDed Compounds]],"")))</f>
        <v>Fentanyl</v>
      </c>
      <c r="S45" s="55" t="str">
        <f>VLOOKUP(Table1[[#This Row],[Invoice + Item]],IDs!A:B,2,FALSE)</f>
        <v>Heroin,Tramadol,Fentanyl</v>
      </c>
      <c r="T45" s="56" t="str">
        <f>VLOOKUP(Table1[[#This Row],[Invoice + Item]],INDs!A:B,2,FALSE)</f>
        <v/>
      </c>
      <c r="U45" s="56" t="str">
        <f>VLOOKUP(Table1[[#This Row],[Invoice + Item]],Ds!A:B,2,FALSE)</f>
        <v>Noscapine,Phenacetin,Quinine,Caffeine</v>
      </c>
      <c r="V45" s="56" t="str">
        <f>VLOOKUP(Table1[[#This Row],[Invoice + Item]],FENT!A:B,2,FALSE)</f>
        <v>Fentanyl</v>
      </c>
      <c r="W45" s="57" t="str">
        <f>VLOOKUP(Table1[[#This Row],[Invoice + Item]],FED!A:B,2,FALSE)</f>
        <v/>
      </c>
      <c r="X45" s="53" t="str">
        <f>VLOOKUP(Table1[[#This Row],[Invoice + Item]],FIS!A:B,2,FALSE)</f>
        <v>Cocaine</v>
      </c>
      <c r="Y45" s="53" t="str">
        <f>MyConcat(Table1[[#This Row],[ID Mixture]:[D Mixture]])</f>
        <v>Heroin,Tramadol,Fentanyl,Noscapine,Phenacetin,Quinine,Caffeine</v>
      </c>
      <c r="Z45" s="53" t="str">
        <f>MyConcat(Table1[[#This Row],[ID Mixture]:[IND Mixture]])</f>
        <v>Heroin,Tramadol,Fentanyl</v>
      </c>
      <c r="AA45" s="56" t="str">
        <f>IF(ISNUMBER(SEARCH(",",Table1[ID Mixture]))=TRUE, "TRUE", "FALSE")</f>
        <v>TRUE</v>
      </c>
      <c r="AB45" s="56" t="str">
        <f>IF(ISNUMBER(SEARCH(",",Table1[IND Mixture]))=TRUE, "TRUE", "FALSE")</f>
        <v>FALSE</v>
      </c>
      <c r="AC45" s="56" t="str">
        <f>IF(ISNUMBER(SEARCH(",",Table1[D Mixture]))=TRUE, "TRUE", "FALSE")</f>
        <v>TRUE</v>
      </c>
      <c r="AD45" s="56" t="str">
        <f>IF(COUNTIF(Table1[[#This Row],[ID Mixture]:[IND Mixture]],"*fent*")&gt;0,"TRUE","FALSE")</f>
        <v>TRUE</v>
      </c>
      <c r="AE45" s="56" t="str">
        <f>IF(COUNTIF(Table1[[#This Row],[ID Mixture]:[IND Mixture]],"*cocaine*")&gt;0,"TRUE","FALSE")</f>
        <v>FALSE</v>
      </c>
      <c r="AF45" s="56" t="str">
        <f>IF(ISNUMBER(SEARCH("residue",Table1[Description]))=TRUE, "TRUE", "FALSE")</f>
        <v>TRUE</v>
      </c>
    </row>
  </sheetData>
  <conditionalFormatting sqref="B9:B45">
    <cfRule type="duplicateValues" dxfId="6" priority="15"/>
  </conditionalFormatting>
  <conditionalFormatting sqref="A3:A45">
    <cfRule type="duplicateValues" dxfId="5" priority="17" stopIfTrue="1"/>
  </conditionalFormatting>
  <conditionalFormatting sqref="C4:C45">
    <cfRule type="duplicateValues" dxfId="4" priority="18"/>
  </conditionalFormatting>
  <conditionalFormatting sqref="B4:B45">
    <cfRule type="duplicateValues" dxfId="0" priority="1"/>
  </conditionalFormatting>
  <pageMargins left="0" right="0.15972222222222221" top="0.15972222222222221" bottom="0.15972222222222221" header="0" footer="0"/>
  <pageSetup paperSize="256" fitToWidth="0" fitToHeight="0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8"/>
  <sheetViews>
    <sheetView workbookViewId="0">
      <selection sqref="A1:B38"/>
    </sheetView>
  </sheetViews>
  <sheetFormatPr defaultRowHeight="12.75" x14ac:dyDescent="0.2"/>
  <sheetData>
    <row r="1" spans="1:2" x14ac:dyDescent="0.2">
      <c r="A1" s="43"/>
      <c r="B1" s="44" t="s">
        <v>3</v>
      </c>
    </row>
    <row r="2" spans="1:2" ht="45" x14ac:dyDescent="0.2">
      <c r="A2" s="44" t="s">
        <v>171</v>
      </c>
      <c r="B2" s="45" t="s">
        <v>172</v>
      </c>
    </row>
    <row r="3" spans="1:2" ht="30" x14ac:dyDescent="0.2">
      <c r="A3" s="45" t="s">
        <v>173</v>
      </c>
      <c r="B3" s="45" t="s">
        <v>173</v>
      </c>
    </row>
    <row r="4" spans="1:2" ht="30" x14ac:dyDescent="0.2">
      <c r="A4" s="46" t="s">
        <v>174</v>
      </c>
      <c r="B4" s="46" t="s">
        <v>175</v>
      </c>
    </row>
    <row r="5" spans="1:2" ht="15" x14ac:dyDescent="0.2">
      <c r="A5" s="47" t="s">
        <v>176</v>
      </c>
      <c r="B5" s="47" t="s">
        <v>176</v>
      </c>
    </row>
    <row r="6" spans="1:2" ht="45" x14ac:dyDescent="0.2">
      <c r="A6" s="45" t="s">
        <v>177</v>
      </c>
      <c r="B6" s="45" t="s">
        <v>178</v>
      </c>
    </row>
    <row r="7" spans="1:2" ht="15" x14ac:dyDescent="0.2">
      <c r="A7" s="45" t="s">
        <v>179</v>
      </c>
      <c r="B7" s="45" t="s">
        <v>180</v>
      </c>
    </row>
    <row r="8" spans="1:2" ht="15" x14ac:dyDescent="0.2">
      <c r="A8" s="45" t="s">
        <v>181</v>
      </c>
      <c r="B8" s="45" t="s">
        <v>181</v>
      </c>
    </row>
    <row r="9" spans="1:2" ht="30" x14ac:dyDescent="0.2">
      <c r="A9" s="47" t="s">
        <v>182</v>
      </c>
      <c r="B9" s="47" t="s">
        <v>182</v>
      </c>
    </row>
    <row r="10" spans="1:2" x14ac:dyDescent="0.2">
      <c r="A10" t="s">
        <v>183</v>
      </c>
      <c r="B10" t="s">
        <v>183</v>
      </c>
    </row>
    <row r="11" spans="1:2" ht="15" x14ac:dyDescent="0.2">
      <c r="A11" s="45" t="s">
        <v>184</v>
      </c>
      <c r="B11" s="45" t="s">
        <v>184</v>
      </c>
    </row>
    <row r="12" spans="1:2" ht="15" x14ac:dyDescent="0.2">
      <c r="A12" s="48" t="s">
        <v>185</v>
      </c>
      <c r="B12" s="48" t="s">
        <v>186</v>
      </c>
    </row>
    <row r="13" spans="1:2" ht="30" x14ac:dyDescent="0.2">
      <c r="A13" s="47" t="s">
        <v>187</v>
      </c>
      <c r="B13" s="47" t="s">
        <v>188</v>
      </c>
    </row>
    <row r="14" spans="1:2" ht="15" x14ac:dyDescent="0.2">
      <c r="A14" s="45" t="s">
        <v>189</v>
      </c>
      <c r="B14" s="45" t="s">
        <v>189</v>
      </c>
    </row>
    <row r="15" spans="1:2" ht="30" x14ac:dyDescent="0.2">
      <c r="A15" s="45" t="s">
        <v>190</v>
      </c>
      <c r="B15" s="45" t="s">
        <v>191</v>
      </c>
    </row>
    <row r="16" spans="1:2" ht="30" x14ac:dyDescent="0.2">
      <c r="A16" s="47" t="s">
        <v>192</v>
      </c>
      <c r="B16" s="47" t="s">
        <v>192</v>
      </c>
    </row>
    <row r="17" spans="1:2" ht="30" x14ac:dyDescent="0.2">
      <c r="A17" s="45" t="s">
        <v>193</v>
      </c>
      <c r="B17" s="45" t="s">
        <v>193</v>
      </c>
    </row>
    <row r="18" spans="1:2" ht="45" x14ac:dyDescent="0.2">
      <c r="A18" s="47" t="s">
        <v>194</v>
      </c>
      <c r="B18" s="47" t="s">
        <v>194</v>
      </c>
    </row>
    <row r="19" spans="1:2" ht="15" x14ac:dyDescent="0.2">
      <c r="A19" s="47" t="s">
        <v>195</v>
      </c>
      <c r="B19" s="47" t="s">
        <v>195</v>
      </c>
    </row>
    <row r="20" spans="1:2" ht="15" x14ac:dyDescent="0.2">
      <c r="A20" s="45" t="s">
        <v>196</v>
      </c>
      <c r="B20" s="45" t="s">
        <v>196</v>
      </c>
    </row>
    <row r="21" spans="1:2" ht="15" x14ac:dyDescent="0.2">
      <c r="A21" s="45" t="s">
        <v>197</v>
      </c>
      <c r="B21" s="45" t="s">
        <v>197</v>
      </c>
    </row>
    <row r="22" spans="1:2" ht="30" x14ac:dyDescent="0.2">
      <c r="A22" s="47" t="s">
        <v>198</v>
      </c>
      <c r="B22" s="47" t="s">
        <v>199</v>
      </c>
    </row>
    <row r="23" spans="1:2" ht="30" x14ac:dyDescent="0.2">
      <c r="A23" s="47" t="s">
        <v>200</v>
      </c>
      <c r="B23" s="47" t="s">
        <v>201</v>
      </c>
    </row>
    <row r="24" spans="1:2" ht="30" x14ac:dyDescent="0.2">
      <c r="A24" s="47" t="s">
        <v>202</v>
      </c>
      <c r="B24" s="47" t="s">
        <v>203</v>
      </c>
    </row>
    <row r="25" spans="1:2" ht="15" x14ac:dyDescent="0.2">
      <c r="A25" s="47" t="s">
        <v>204</v>
      </c>
      <c r="B25" s="47" t="s">
        <v>204</v>
      </c>
    </row>
    <row r="26" spans="1:2" ht="15" x14ac:dyDescent="0.2">
      <c r="A26" s="45" t="s">
        <v>205</v>
      </c>
      <c r="B26" s="45" t="s">
        <v>205</v>
      </c>
    </row>
    <row r="27" spans="1:2" ht="15" x14ac:dyDescent="0.2">
      <c r="A27" s="49" t="s">
        <v>206</v>
      </c>
      <c r="B27" s="49" t="s">
        <v>206</v>
      </c>
    </row>
    <row r="28" spans="1:2" ht="45" x14ac:dyDescent="0.2">
      <c r="A28" s="47" t="s">
        <v>207</v>
      </c>
      <c r="B28" s="47" t="s">
        <v>207</v>
      </c>
    </row>
    <row r="29" spans="1:2" ht="15" x14ac:dyDescent="0.2">
      <c r="A29" s="47" t="s">
        <v>208</v>
      </c>
      <c r="B29" s="47" t="s">
        <v>208</v>
      </c>
    </row>
    <row r="30" spans="1:2" ht="15" x14ac:dyDescent="0.2">
      <c r="A30" s="46" t="s">
        <v>209</v>
      </c>
      <c r="B30" s="46" t="s">
        <v>209</v>
      </c>
    </row>
    <row r="31" spans="1:2" ht="30" x14ac:dyDescent="0.2">
      <c r="A31" s="46" t="s">
        <v>210</v>
      </c>
      <c r="B31" s="46" t="s">
        <v>211</v>
      </c>
    </row>
    <row r="32" spans="1:2" ht="15" x14ac:dyDescent="0.2">
      <c r="A32" s="47" t="s">
        <v>212</v>
      </c>
      <c r="B32" s="47" t="s">
        <v>212</v>
      </c>
    </row>
    <row r="33" spans="1:2" ht="15" x14ac:dyDescent="0.2">
      <c r="A33" s="45" t="s">
        <v>213</v>
      </c>
      <c r="B33" s="45" t="s">
        <v>213</v>
      </c>
    </row>
    <row r="34" spans="1:2" ht="15" x14ac:dyDescent="0.2">
      <c r="A34" s="47" t="s">
        <v>214</v>
      </c>
      <c r="B34" s="47" t="s">
        <v>214</v>
      </c>
    </row>
    <row r="35" spans="1:2" ht="45" x14ac:dyDescent="0.2">
      <c r="A35" s="44" t="s">
        <v>215</v>
      </c>
      <c r="B35" s="45" t="s">
        <v>178</v>
      </c>
    </row>
    <row r="36" spans="1:2" x14ac:dyDescent="0.2">
      <c r="A36" s="44" t="s">
        <v>216</v>
      </c>
      <c r="B36" s="44" t="s">
        <v>182</v>
      </c>
    </row>
    <row r="37" spans="1:2" x14ac:dyDescent="0.2">
      <c r="A37" s="44" t="s">
        <v>217</v>
      </c>
      <c r="B37" s="44" t="s">
        <v>217</v>
      </c>
    </row>
    <row r="38" spans="1:2" x14ac:dyDescent="0.2">
      <c r="A38" s="44" t="s">
        <v>218</v>
      </c>
      <c r="B38" s="44" t="s">
        <v>219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77"/>
  <sheetViews>
    <sheetView workbookViewId="0">
      <selection sqref="A1:B1048576"/>
    </sheetView>
  </sheetViews>
  <sheetFormatPr defaultRowHeight="12.75" x14ac:dyDescent="0.2"/>
  <cols>
    <col min="1" max="1" width="9.140625" style="42"/>
  </cols>
  <sheetData>
    <row r="1" spans="1:2" x14ac:dyDescent="0.2">
      <c r="A1" s="41" t="s">
        <v>86</v>
      </c>
      <c r="B1" s="4" t="s">
        <v>87</v>
      </c>
    </row>
    <row r="2" spans="1:2" x14ac:dyDescent="0.2">
      <c r="A2" s="41" t="s">
        <v>88</v>
      </c>
      <c r="B2" s="4" t="s">
        <v>87</v>
      </c>
    </row>
    <row r="3" spans="1:2" x14ac:dyDescent="0.2">
      <c r="A3" s="41" t="s">
        <v>89</v>
      </c>
      <c r="B3" s="4" t="s">
        <v>87</v>
      </c>
    </row>
    <row r="4" spans="1:2" x14ac:dyDescent="0.2">
      <c r="A4" s="41" t="s">
        <v>90</v>
      </c>
      <c r="B4" s="4" t="s">
        <v>87</v>
      </c>
    </row>
    <row r="5" spans="1:2" x14ac:dyDescent="0.2">
      <c r="A5" s="41" t="s">
        <v>91</v>
      </c>
      <c r="B5" s="4" t="s">
        <v>87</v>
      </c>
    </row>
    <row r="6" spans="1:2" x14ac:dyDescent="0.2">
      <c r="A6" s="41" t="s">
        <v>92</v>
      </c>
      <c r="B6" s="4" t="s">
        <v>87</v>
      </c>
    </row>
    <row r="7" spans="1:2" x14ac:dyDescent="0.2">
      <c r="A7" s="41" t="s">
        <v>93</v>
      </c>
      <c r="B7" s="4" t="s">
        <v>87</v>
      </c>
    </row>
    <row r="8" spans="1:2" x14ac:dyDescent="0.2">
      <c r="A8" s="41" t="s">
        <v>94</v>
      </c>
      <c r="B8" s="4" t="s">
        <v>87</v>
      </c>
    </row>
    <row r="9" spans="1:2" x14ac:dyDescent="0.2">
      <c r="A9" s="41" t="s">
        <v>95</v>
      </c>
      <c r="B9" s="4" t="s">
        <v>87</v>
      </c>
    </row>
    <row r="10" spans="1:2" x14ac:dyDescent="0.2">
      <c r="A10" s="41" t="s">
        <v>96</v>
      </c>
      <c r="B10" s="4" t="s">
        <v>87</v>
      </c>
    </row>
    <row r="11" spans="1:2" x14ac:dyDescent="0.2">
      <c r="A11" s="41" t="s">
        <v>97</v>
      </c>
      <c r="B11" s="4" t="s">
        <v>98</v>
      </c>
    </row>
    <row r="12" spans="1:2" x14ac:dyDescent="0.2">
      <c r="A12" s="41" t="s">
        <v>99</v>
      </c>
      <c r="B12" s="4" t="s">
        <v>98</v>
      </c>
    </row>
    <row r="13" spans="1:2" x14ac:dyDescent="0.2">
      <c r="A13" s="41" t="s">
        <v>100</v>
      </c>
      <c r="B13" s="4" t="s">
        <v>98</v>
      </c>
    </row>
    <row r="14" spans="1:2" x14ac:dyDescent="0.2">
      <c r="A14" s="41" t="s">
        <v>101</v>
      </c>
      <c r="B14" s="4" t="s">
        <v>98</v>
      </c>
    </row>
    <row r="15" spans="1:2" x14ac:dyDescent="0.2">
      <c r="A15" s="41" t="s">
        <v>102</v>
      </c>
      <c r="B15" s="4" t="s">
        <v>98</v>
      </c>
    </row>
    <row r="16" spans="1:2" x14ac:dyDescent="0.2">
      <c r="A16" s="41" t="s">
        <v>103</v>
      </c>
      <c r="B16" s="4" t="s">
        <v>98</v>
      </c>
    </row>
    <row r="17" spans="1:2" x14ac:dyDescent="0.2">
      <c r="A17" s="41" t="s">
        <v>104</v>
      </c>
      <c r="B17" s="4" t="s">
        <v>98</v>
      </c>
    </row>
    <row r="18" spans="1:2" x14ac:dyDescent="0.2">
      <c r="A18" s="41" t="s">
        <v>105</v>
      </c>
      <c r="B18" s="4" t="s">
        <v>98</v>
      </c>
    </row>
    <row r="19" spans="1:2" x14ac:dyDescent="0.2">
      <c r="A19" s="41" t="s">
        <v>106</v>
      </c>
      <c r="B19" s="4" t="s">
        <v>98</v>
      </c>
    </row>
    <row r="20" spans="1:2" x14ac:dyDescent="0.2">
      <c r="A20" s="41" t="s">
        <v>107</v>
      </c>
      <c r="B20" s="4" t="s">
        <v>98</v>
      </c>
    </row>
    <row r="21" spans="1:2" x14ac:dyDescent="0.2">
      <c r="A21" s="41" t="s">
        <v>108</v>
      </c>
      <c r="B21" s="4" t="s">
        <v>98</v>
      </c>
    </row>
    <row r="22" spans="1:2" x14ac:dyDescent="0.2">
      <c r="A22" s="41" t="s">
        <v>109</v>
      </c>
      <c r="B22" s="4" t="s">
        <v>98</v>
      </c>
    </row>
    <row r="23" spans="1:2" x14ac:dyDescent="0.2">
      <c r="A23" s="41" t="s">
        <v>110</v>
      </c>
      <c r="B23" s="4" t="s">
        <v>98</v>
      </c>
    </row>
    <row r="24" spans="1:2" x14ac:dyDescent="0.2">
      <c r="A24" s="41" t="s">
        <v>111</v>
      </c>
      <c r="B24" s="4" t="s">
        <v>112</v>
      </c>
    </row>
    <row r="25" spans="1:2" x14ac:dyDescent="0.2">
      <c r="A25" s="41" t="s">
        <v>113</v>
      </c>
      <c r="B25" s="4" t="s">
        <v>112</v>
      </c>
    </row>
    <row r="26" spans="1:2" x14ac:dyDescent="0.2">
      <c r="A26" s="41" t="s">
        <v>114</v>
      </c>
      <c r="B26" s="4" t="s">
        <v>112</v>
      </c>
    </row>
    <row r="27" spans="1:2" x14ac:dyDescent="0.2">
      <c r="A27" s="41" t="s">
        <v>115</v>
      </c>
      <c r="B27" s="4" t="s">
        <v>112</v>
      </c>
    </row>
    <row r="28" spans="1:2" x14ac:dyDescent="0.2">
      <c r="A28" s="41" t="s">
        <v>116</v>
      </c>
      <c r="B28" s="4" t="s">
        <v>112</v>
      </c>
    </row>
    <row r="29" spans="1:2" x14ac:dyDescent="0.2">
      <c r="A29" s="41" t="s">
        <v>117</v>
      </c>
      <c r="B29" s="4" t="s">
        <v>112</v>
      </c>
    </row>
    <row r="30" spans="1:2" x14ac:dyDescent="0.2">
      <c r="A30" s="41" t="s">
        <v>118</v>
      </c>
      <c r="B30" s="4" t="s">
        <v>112</v>
      </c>
    </row>
    <row r="31" spans="1:2" x14ac:dyDescent="0.2">
      <c r="A31" s="41" t="s">
        <v>119</v>
      </c>
      <c r="B31" s="4" t="s">
        <v>112</v>
      </c>
    </row>
    <row r="32" spans="1:2" x14ac:dyDescent="0.2">
      <c r="A32" s="41" t="s">
        <v>120</v>
      </c>
      <c r="B32" s="4" t="s">
        <v>112</v>
      </c>
    </row>
    <row r="33" spans="1:2" x14ac:dyDescent="0.2">
      <c r="A33" s="41" t="s">
        <v>121</v>
      </c>
      <c r="B33" s="4" t="s">
        <v>112</v>
      </c>
    </row>
    <row r="34" spans="1:2" x14ac:dyDescent="0.2">
      <c r="A34" s="41" t="s">
        <v>122</v>
      </c>
      <c r="B34" s="4" t="s">
        <v>112</v>
      </c>
    </row>
    <row r="35" spans="1:2" x14ac:dyDescent="0.2">
      <c r="A35" s="41" t="s">
        <v>123</v>
      </c>
      <c r="B35" s="4" t="s">
        <v>112</v>
      </c>
    </row>
    <row r="36" spans="1:2" x14ac:dyDescent="0.2">
      <c r="A36" s="41" t="s">
        <v>124</v>
      </c>
      <c r="B36" s="4" t="s">
        <v>125</v>
      </c>
    </row>
    <row r="37" spans="1:2" x14ac:dyDescent="0.2">
      <c r="A37" s="41" t="s">
        <v>126</v>
      </c>
      <c r="B37" s="4" t="s">
        <v>125</v>
      </c>
    </row>
    <row r="38" spans="1:2" x14ac:dyDescent="0.2">
      <c r="A38" s="41" t="s">
        <v>127</v>
      </c>
      <c r="B38" s="4" t="s">
        <v>125</v>
      </c>
    </row>
    <row r="39" spans="1:2" x14ac:dyDescent="0.2">
      <c r="A39" s="41" t="s">
        <v>128</v>
      </c>
      <c r="B39" s="4" t="s">
        <v>125</v>
      </c>
    </row>
    <row r="40" spans="1:2" x14ac:dyDescent="0.2">
      <c r="A40" s="41" t="s">
        <v>129</v>
      </c>
      <c r="B40" s="4" t="s">
        <v>125</v>
      </c>
    </row>
    <row r="41" spans="1:2" x14ac:dyDescent="0.2">
      <c r="A41" s="41" t="s">
        <v>130</v>
      </c>
      <c r="B41" s="4" t="s">
        <v>125</v>
      </c>
    </row>
    <row r="42" spans="1:2" x14ac:dyDescent="0.2">
      <c r="A42" s="41" t="s">
        <v>131</v>
      </c>
      <c r="B42" s="4" t="s">
        <v>125</v>
      </c>
    </row>
    <row r="43" spans="1:2" x14ac:dyDescent="0.2">
      <c r="A43" s="41" t="s">
        <v>132</v>
      </c>
      <c r="B43" s="4" t="s">
        <v>125</v>
      </c>
    </row>
    <row r="44" spans="1:2" x14ac:dyDescent="0.2">
      <c r="A44" s="41" t="s">
        <v>133</v>
      </c>
      <c r="B44" s="4" t="s">
        <v>125</v>
      </c>
    </row>
    <row r="45" spans="1:2" x14ac:dyDescent="0.2">
      <c r="A45" s="41" t="s">
        <v>134</v>
      </c>
      <c r="B45" s="4" t="s">
        <v>125</v>
      </c>
    </row>
    <row r="46" spans="1:2" x14ac:dyDescent="0.2">
      <c r="A46" s="41" t="s">
        <v>135</v>
      </c>
      <c r="B46" s="4" t="s">
        <v>125</v>
      </c>
    </row>
    <row r="47" spans="1:2" x14ac:dyDescent="0.2">
      <c r="A47" s="41" t="s">
        <v>136</v>
      </c>
      <c r="B47" s="4" t="s">
        <v>125</v>
      </c>
    </row>
    <row r="48" spans="1:2" x14ac:dyDescent="0.2">
      <c r="A48" s="41" t="s">
        <v>137</v>
      </c>
      <c r="B48" s="4" t="s">
        <v>138</v>
      </c>
    </row>
    <row r="49" spans="1:2" x14ac:dyDescent="0.2">
      <c r="A49" s="41" t="s">
        <v>139</v>
      </c>
      <c r="B49" s="4" t="s">
        <v>138</v>
      </c>
    </row>
    <row r="50" spans="1:2" x14ac:dyDescent="0.2">
      <c r="A50" s="41" t="s">
        <v>140</v>
      </c>
      <c r="B50" s="4" t="s">
        <v>138</v>
      </c>
    </row>
    <row r="51" spans="1:2" x14ac:dyDescent="0.2">
      <c r="A51" s="41" t="s">
        <v>141</v>
      </c>
      <c r="B51" s="4" t="s">
        <v>138</v>
      </c>
    </row>
    <row r="52" spans="1:2" x14ac:dyDescent="0.2">
      <c r="A52" s="41" t="s">
        <v>142</v>
      </c>
      <c r="B52" s="4" t="s">
        <v>138</v>
      </c>
    </row>
    <row r="53" spans="1:2" x14ac:dyDescent="0.2">
      <c r="A53" s="41" t="s">
        <v>143</v>
      </c>
      <c r="B53" s="4" t="s">
        <v>138</v>
      </c>
    </row>
    <row r="54" spans="1:2" x14ac:dyDescent="0.2">
      <c r="A54" s="41" t="s">
        <v>144</v>
      </c>
      <c r="B54" s="4" t="s">
        <v>138</v>
      </c>
    </row>
    <row r="55" spans="1:2" x14ac:dyDescent="0.2">
      <c r="A55" s="41" t="s">
        <v>145</v>
      </c>
      <c r="B55" s="4" t="s">
        <v>138</v>
      </c>
    </row>
    <row r="56" spans="1:2" x14ac:dyDescent="0.2">
      <c r="A56" s="41" t="s">
        <v>146</v>
      </c>
      <c r="B56" s="4" t="s">
        <v>138</v>
      </c>
    </row>
    <row r="57" spans="1:2" x14ac:dyDescent="0.2">
      <c r="A57" s="41" t="s">
        <v>147</v>
      </c>
      <c r="B57" s="4" t="s">
        <v>138</v>
      </c>
    </row>
    <row r="58" spans="1:2" x14ac:dyDescent="0.2">
      <c r="A58" s="41" t="s">
        <v>148</v>
      </c>
      <c r="B58" s="4" t="s">
        <v>149</v>
      </c>
    </row>
    <row r="59" spans="1:2" x14ac:dyDescent="0.2">
      <c r="A59" s="41" t="s">
        <v>150</v>
      </c>
      <c r="B59" s="4" t="s">
        <v>149</v>
      </c>
    </row>
    <row r="60" spans="1:2" x14ac:dyDescent="0.2">
      <c r="A60" s="41" t="s">
        <v>151</v>
      </c>
      <c r="B60" s="4" t="s">
        <v>149</v>
      </c>
    </row>
    <row r="61" spans="1:2" x14ac:dyDescent="0.2">
      <c r="A61" s="41" t="s">
        <v>152</v>
      </c>
      <c r="B61" s="4" t="s">
        <v>149</v>
      </c>
    </row>
    <row r="62" spans="1:2" x14ac:dyDescent="0.2">
      <c r="A62" s="41" t="s">
        <v>153</v>
      </c>
      <c r="B62" s="4" t="s">
        <v>149</v>
      </c>
    </row>
    <row r="63" spans="1:2" x14ac:dyDescent="0.2">
      <c r="A63" s="41" t="s">
        <v>154</v>
      </c>
      <c r="B63" s="4" t="s">
        <v>149</v>
      </c>
    </row>
    <row r="64" spans="1:2" x14ac:dyDescent="0.2">
      <c r="A64" s="41" t="s">
        <v>155</v>
      </c>
      <c r="B64" s="4" t="s">
        <v>149</v>
      </c>
    </row>
    <row r="65" spans="1:2" x14ac:dyDescent="0.2">
      <c r="A65" s="41" t="s">
        <v>156</v>
      </c>
      <c r="B65" s="4" t="s">
        <v>149</v>
      </c>
    </row>
    <row r="66" spans="1:2" x14ac:dyDescent="0.2">
      <c r="A66" s="41" t="s">
        <v>157</v>
      </c>
      <c r="B66" s="4" t="s">
        <v>158</v>
      </c>
    </row>
    <row r="67" spans="1:2" x14ac:dyDescent="0.2">
      <c r="A67" s="41" t="s">
        <v>159</v>
      </c>
      <c r="B67" s="4" t="s">
        <v>158</v>
      </c>
    </row>
    <row r="68" spans="1:2" x14ac:dyDescent="0.2">
      <c r="A68" s="41" t="s">
        <v>160</v>
      </c>
      <c r="B68" s="4" t="s">
        <v>158</v>
      </c>
    </row>
    <row r="69" spans="1:2" x14ac:dyDescent="0.2">
      <c r="A69" s="41" t="s">
        <v>161</v>
      </c>
      <c r="B69" s="4" t="s">
        <v>158</v>
      </c>
    </row>
    <row r="70" spans="1:2" x14ac:dyDescent="0.2">
      <c r="A70" s="41" t="s">
        <v>162</v>
      </c>
      <c r="B70" s="4" t="s">
        <v>158</v>
      </c>
    </row>
    <row r="71" spans="1:2" x14ac:dyDescent="0.2">
      <c r="A71" s="41" t="s">
        <v>163</v>
      </c>
      <c r="B71" s="4" t="s">
        <v>158</v>
      </c>
    </row>
    <row r="72" spans="1:2" x14ac:dyDescent="0.2">
      <c r="A72" s="41" t="s">
        <v>164</v>
      </c>
      <c r="B72" s="4" t="s">
        <v>158</v>
      </c>
    </row>
    <row r="73" spans="1:2" x14ac:dyDescent="0.2">
      <c r="A73" s="41" t="s">
        <v>165</v>
      </c>
      <c r="B73" s="4" t="s">
        <v>158</v>
      </c>
    </row>
    <row r="74" spans="1:2" x14ac:dyDescent="0.2">
      <c r="A74" s="41" t="s">
        <v>166</v>
      </c>
      <c r="B74" s="4" t="s">
        <v>167</v>
      </c>
    </row>
    <row r="75" spans="1:2" x14ac:dyDescent="0.2">
      <c r="A75" s="41" t="s">
        <v>168</v>
      </c>
      <c r="B75" s="4" t="s">
        <v>167</v>
      </c>
    </row>
    <row r="76" spans="1:2" x14ac:dyDescent="0.2">
      <c r="A76" s="41" t="s">
        <v>169</v>
      </c>
      <c r="B76" s="4" t="s">
        <v>167</v>
      </c>
    </row>
    <row r="77" spans="1:2" x14ac:dyDescent="0.2">
      <c r="A77" s="41" t="s">
        <v>170</v>
      </c>
      <c r="B77" s="4" t="s">
        <v>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06"/>
  <sheetViews>
    <sheetView topLeftCell="A7" workbookViewId="0">
      <selection activeCell="A26" sqref="A26"/>
    </sheetView>
  </sheetViews>
  <sheetFormatPr defaultRowHeight="12.75" x14ac:dyDescent="0.2"/>
  <cols>
    <col min="1" max="1" width="27.85546875" bestFit="1" customWidth="1"/>
    <col min="2" max="2" width="64" bestFit="1" customWidth="1"/>
    <col min="3" max="5" width="36" bestFit="1" customWidth="1"/>
    <col min="6" max="6" width="19.42578125" bestFit="1" customWidth="1"/>
    <col min="7" max="7" width="12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" t="s">
        <v>43</v>
      </c>
      <c r="B3" s="5" t="s">
        <v>44</v>
      </c>
      <c r="C3" s="4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</row>
    <row r="4" spans="1:10" x14ac:dyDescent="0.2">
      <c r="A4" s="18" t="str">
        <f>Table1[Invoice + Item]</f>
        <v>0277-1</v>
      </c>
      <c r="B4" s="6" t="str">
        <f t="shared" ref="B4:B45" si="0">MyConcat(C4:J4)</f>
        <v>Methamphetamine</v>
      </c>
      <c r="C4" s="6" t="str">
        <f t="array" ref="C4:J4">IFERROR(INDEX(Table1[IDed Compounds], SMALL(IF($A4 =Table1[Invoice + Item], ROW(Table1[IDed Compounds]) - 3, ""), COLUMN() - 2)), "")</f>
        <v>Methamphetamine</v>
      </c>
      <c r="D4" s="6" t="str">
        <v/>
      </c>
      <c r="E4" s="6" t="str">
        <v/>
      </c>
      <c r="F4" s="6" t="str">
        <v/>
      </c>
      <c r="G4" s="6" t="str">
        <v/>
      </c>
      <c r="H4" s="6" t="str">
        <v/>
      </c>
      <c r="I4" s="6" t="str">
        <v/>
      </c>
      <c r="J4" s="6" t="str">
        <v/>
      </c>
    </row>
    <row r="5" spans="1:10" x14ac:dyDescent="0.2">
      <c r="A5" s="18" t="str">
        <f>Table1[Invoice + Item]</f>
        <v>8197-4A</v>
      </c>
      <c r="B5" s="6" t="str">
        <f t="shared" si="0"/>
        <v>Heroin,Fentanyl</v>
      </c>
      <c r="C5" s="6" t="str">
        <f t="array" ref="C5:J5">IFERROR(INDEX(Table1[IDed Compounds], SMALL(IF($A5 =Table1[Invoice + Item], ROW(Table1[IDed Compounds]) - 3, ""), COLUMN() - 2)), "")</f>
        <v>Heroin</v>
      </c>
      <c r="D5" s="6" t="str">
        <v>Fentanyl</v>
      </c>
      <c r="E5" s="6" t="str">
        <v/>
      </c>
      <c r="F5" s="6" t="str">
        <v/>
      </c>
      <c r="G5" s="6" t="str">
        <v/>
      </c>
      <c r="H5" s="6" t="str">
        <v/>
      </c>
      <c r="I5" s="6" t="str">
        <v/>
      </c>
      <c r="J5" s="6" t="str">
        <v/>
      </c>
    </row>
    <row r="6" spans="1:10" x14ac:dyDescent="0.2">
      <c r="A6" s="18" t="str">
        <f>Table1[Invoice + Item]</f>
        <v>8197-4A</v>
      </c>
      <c r="B6" s="6" t="str">
        <f t="shared" si="0"/>
        <v>Heroin,Fentanyl</v>
      </c>
      <c r="C6" s="6" t="str">
        <f t="array" ref="C6:J6">IFERROR(INDEX(Table1[IDed Compounds], SMALL(IF($A6 =Table1[Invoice + Item], ROW(Table1[IDed Compounds]) - 3, ""), COLUMN() - 2)), "")</f>
        <v>Heroin</v>
      </c>
      <c r="D6" s="6" t="str">
        <v>Fentanyl</v>
      </c>
      <c r="E6" s="6" t="str">
        <v/>
      </c>
      <c r="F6" s="6" t="str">
        <v/>
      </c>
      <c r="G6" s="6" t="str">
        <v/>
      </c>
      <c r="H6" s="6" t="str">
        <v/>
      </c>
      <c r="I6" s="6" t="str">
        <v/>
      </c>
      <c r="J6" s="6" t="str">
        <v/>
      </c>
    </row>
    <row r="7" spans="1:10" x14ac:dyDescent="0.2">
      <c r="A7" s="18" t="str">
        <f>Table1[Invoice + Item]</f>
        <v>8197-4B</v>
      </c>
      <c r="B7" s="6" t="str">
        <f t="shared" si="0"/>
        <v>Tramadol,Fentanyl,Heroin</v>
      </c>
      <c r="C7" s="6" t="str">
        <f t="array" ref="C7:J7">IFERROR(INDEX(Table1[IDed Compounds], SMALL(IF($A7 =Table1[Invoice + Item], ROW(Table1[IDed Compounds]) - 3, ""), COLUMN() - 2)), "")</f>
        <v>Tramadol</v>
      </c>
      <c r="D7" s="6">
        <v>0</v>
      </c>
      <c r="E7" s="6" t="str">
        <v>Fentanyl</v>
      </c>
      <c r="F7" s="6" t="str">
        <v>Heroin</v>
      </c>
      <c r="G7" s="6" t="str">
        <v/>
      </c>
      <c r="H7" s="6" t="str">
        <v/>
      </c>
      <c r="I7" s="6" t="str">
        <v/>
      </c>
      <c r="J7" s="6" t="str">
        <v/>
      </c>
    </row>
    <row r="8" spans="1:10" x14ac:dyDescent="0.2">
      <c r="A8" s="18" t="str">
        <f>Table1[Invoice + Item]</f>
        <v>8197-4B</v>
      </c>
      <c r="B8" s="6" t="str">
        <f t="shared" si="0"/>
        <v>Tramadol,Fentanyl,Heroin</v>
      </c>
      <c r="C8" s="6" t="str">
        <f t="array" ref="C8:J8">IFERROR(INDEX(Table1[IDed Compounds], SMALL(IF($A8 =Table1[Invoice + Item], ROW(Table1[IDed Compounds]) - 3, ""), COLUMN() - 2)), "")</f>
        <v>Tramadol</v>
      </c>
      <c r="D8" s="6">
        <v>0</v>
      </c>
      <c r="E8" s="6" t="str">
        <v>Fentanyl</v>
      </c>
      <c r="F8" s="6" t="str">
        <v>Heroin</v>
      </c>
      <c r="G8" s="6" t="str">
        <v/>
      </c>
      <c r="H8" s="6" t="str">
        <v/>
      </c>
      <c r="I8" s="6" t="str">
        <v/>
      </c>
      <c r="J8" s="6" t="str">
        <v/>
      </c>
    </row>
    <row r="9" spans="1:10" x14ac:dyDescent="0.2">
      <c r="A9" s="18" t="str">
        <f>Table1[Invoice + Item]</f>
        <v>8197-4B</v>
      </c>
      <c r="B9" s="6" t="str">
        <f t="shared" si="0"/>
        <v>Tramadol,Fentanyl,Heroin</v>
      </c>
      <c r="C9" s="6" t="str">
        <f t="array" ref="C9:J9">IFERROR(INDEX(Table1[IDed Compounds], SMALL(IF($A9 =Table1[Invoice + Item], ROW(Table1[IDed Compounds]) - 3, ""), COLUMN() - 2)), "")</f>
        <v>Tramadol</v>
      </c>
      <c r="D9" s="6">
        <v>0</v>
      </c>
      <c r="E9" s="6" t="str">
        <v>Fentanyl</v>
      </c>
      <c r="F9" s="6" t="str">
        <v>Heroin</v>
      </c>
      <c r="G9" s="6" t="str">
        <v/>
      </c>
      <c r="H9" s="6" t="str">
        <v/>
      </c>
      <c r="I9" s="6" t="str">
        <v/>
      </c>
      <c r="J9" s="6" t="str">
        <v/>
      </c>
    </row>
    <row r="10" spans="1:10" x14ac:dyDescent="0.2">
      <c r="A10" s="18" t="str">
        <f>Table1[Invoice + Item]</f>
        <v>8197-4B</v>
      </c>
      <c r="B10" s="6" t="str">
        <f t="shared" si="0"/>
        <v>Tramadol,Fentanyl,Heroin</v>
      </c>
      <c r="C10" s="6" t="str">
        <f t="array" ref="C10:J10">IFERROR(INDEX(Table1[IDed Compounds], SMALL(IF($A10 =Table1[Invoice + Item], ROW(Table1[IDed Compounds]) - 3, ""), COLUMN() - 2)), "")</f>
        <v>Tramadol</v>
      </c>
      <c r="D10" s="6">
        <v>0</v>
      </c>
      <c r="E10" s="6" t="str">
        <v>Fentanyl</v>
      </c>
      <c r="F10" s="6" t="str">
        <v>Heroin</v>
      </c>
      <c r="G10" s="6" t="str">
        <v/>
      </c>
      <c r="H10" s="6" t="str">
        <v/>
      </c>
      <c r="I10" s="6" t="str">
        <v/>
      </c>
      <c r="J10" s="6" t="str">
        <v/>
      </c>
    </row>
    <row r="11" spans="1:10" x14ac:dyDescent="0.2">
      <c r="A11" s="18" t="str">
        <f>Table1[Invoice + Item]</f>
        <v>8199-1</v>
      </c>
      <c r="B11" s="6" t="str">
        <f t="shared" si="0"/>
        <v>Heroin,Fentanyl</v>
      </c>
      <c r="C11" s="6" t="str">
        <f t="array" ref="C11:J11">IFERROR(INDEX(Table1[IDed Compounds], SMALL(IF($A11 =Table1[Invoice + Item], ROW(Table1[IDed Compounds]) - 3, ""), COLUMN() - 2)), "")</f>
        <v>Heroin</v>
      </c>
      <c r="D11" s="6" t="str">
        <v>Fentanyl</v>
      </c>
      <c r="E11" s="6" t="str">
        <v/>
      </c>
      <c r="F11" s="6" t="str">
        <v/>
      </c>
      <c r="G11" s="6" t="str">
        <v/>
      </c>
      <c r="H11" s="6" t="str">
        <v/>
      </c>
      <c r="I11" s="6" t="str">
        <v/>
      </c>
      <c r="J11" s="6" t="str">
        <v/>
      </c>
    </row>
    <row r="12" spans="1:10" x14ac:dyDescent="0.2">
      <c r="A12" s="18" t="str">
        <f>Table1[Invoice + Item]</f>
        <v>8199-1</v>
      </c>
      <c r="B12" s="6" t="str">
        <f t="shared" si="0"/>
        <v>Heroin,Fentanyl</v>
      </c>
      <c r="C12" s="6" t="str">
        <f t="array" ref="C12:J12">IFERROR(INDEX(Table1[IDed Compounds], SMALL(IF($A12 =Table1[Invoice + Item], ROW(Table1[IDed Compounds]) - 3, ""), COLUMN() - 2)), "")</f>
        <v>Heroin</v>
      </c>
      <c r="D12" s="6" t="str">
        <v>Fentanyl</v>
      </c>
      <c r="E12" s="6" t="str">
        <v/>
      </c>
      <c r="F12" s="6" t="str">
        <v/>
      </c>
      <c r="G12" s="6" t="str">
        <v/>
      </c>
      <c r="H12" s="6" t="str">
        <v/>
      </c>
      <c r="I12" s="6" t="str">
        <v/>
      </c>
      <c r="J12" s="6" t="str">
        <v/>
      </c>
    </row>
    <row r="13" spans="1:10" x14ac:dyDescent="0.2">
      <c r="A13" s="18" t="str">
        <f>Table1[Invoice + Item]</f>
        <v>8199-3A</v>
      </c>
      <c r="B13" s="6" t="str">
        <f t="shared" si="0"/>
        <v>Cocaine</v>
      </c>
      <c r="C13" s="6" t="str">
        <f t="array" ref="C13:J13">IFERROR(INDEX(Table1[IDed Compounds], SMALL(IF($A13 =Table1[Invoice + Item], ROW(Table1[IDed Compounds]) - 3, ""), COLUMN() - 2)), "")</f>
        <v>Cocaine</v>
      </c>
      <c r="D13" s="6">
        <v>0</v>
      </c>
      <c r="E13" s="6" t="str">
        <v/>
      </c>
      <c r="F13" s="6" t="str">
        <v/>
      </c>
      <c r="G13" s="6" t="str">
        <v/>
      </c>
      <c r="H13" s="6" t="str">
        <v/>
      </c>
      <c r="I13" s="6" t="str">
        <v/>
      </c>
      <c r="J13" s="6" t="str">
        <v/>
      </c>
    </row>
    <row r="14" spans="1:10" x14ac:dyDescent="0.2">
      <c r="A14" s="18" t="str">
        <f>Table1[Invoice + Item]</f>
        <v>8199-3A</v>
      </c>
      <c r="B14" s="6" t="str">
        <f t="shared" si="0"/>
        <v>Cocaine</v>
      </c>
      <c r="C14" s="6" t="str">
        <f t="array" ref="C14:J14">IFERROR(INDEX(Table1[IDed Compounds], SMALL(IF($A14 =Table1[Invoice + Item], ROW(Table1[IDed Compounds]) - 3, ""), COLUMN() - 2)), "")</f>
        <v>Cocaine</v>
      </c>
      <c r="D14" s="6">
        <v>0</v>
      </c>
      <c r="E14" s="6" t="str">
        <v/>
      </c>
      <c r="F14" s="6" t="str">
        <v/>
      </c>
      <c r="G14" s="6" t="str">
        <v/>
      </c>
      <c r="H14" s="6" t="str">
        <v/>
      </c>
      <c r="I14" s="6" t="str">
        <v/>
      </c>
      <c r="J14" s="6" t="str">
        <v/>
      </c>
    </row>
    <row r="15" spans="1:10" x14ac:dyDescent="0.2">
      <c r="A15" s="18" t="str">
        <f>Table1[Invoice + Item]</f>
        <v>9562-1A</v>
      </c>
      <c r="B15" s="6" t="str">
        <f t="shared" si="0"/>
        <v>Heroin,Fentanyl</v>
      </c>
      <c r="C15" s="6">
        <f t="array" ref="C15:J15">IFERROR(INDEX(Table1[IDed Compounds], SMALL(IF($A15 =Table1[Invoice + Item], ROW(Table1[IDed Compounds]) - 3, ""), COLUMN() - 2)), "")</f>
        <v>0</v>
      </c>
      <c r="D15" s="6">
        <v>0</v>
      </c>
      <c r="E15" s="6" t="str">
        <v>Heroin</v>
      </c>
      <c r="F15" s="6" t="str">
        <v>Fentanyl</v>
      </c>
      <c r="G15" s="6" t="str">
        <v/>
      </c>
      <c r="H15" s="6" t="str">
        <v/>
      </c>
      <c r="I15" s="6" t="str">
        <v/>
      </c>
      <c r="J15" s="6" t="str">
        <v/>
      </c>
    </row>
    <row r="16" spans="1:10" x14ac:dyDescent="0.2">
      <c r="A16" s="18" t="str">
        <f>Table1[Invoice + Item]</f>
        <v>9562-1A</v>
      </c>
      <c r="B16" s="6" t="str">
        <f t="shared" si="0"/>
        <v>Heroin,Fentanyl</v>
      </c>
      <c r="C16" s="6">
        <f t="array" ref="C16:J16">IFERROR(INDEX(Table1[IDed Compounds], SMALL(IF($A16 =Table1[Invoice + Item], ROW(Table1[IDed Compounds]) - 3, ""), COLUMN() - 2)), "")</f>
        <v>0</v>
      </c>
      <c r="D16" s="6">
        <v>0</v>
      </c>
      <c r="E16" s="6" t="str">
        <v>Heroin</v>
      </c>
      <c r="F16" s="6" t="str">
        <v>Fentanyl</v>
      </c>
      <c r="G16" s="6" t="str">
        <v/>
      </c>
      <c r="H16" s="6" t="str">
        <v/>
      </c>
      <c r="I16" s="6" t="str">
        <v/>
      </c>
      <c r="J16" s="6" t="str">
        <v/>
      </c>
    </row>
    <row r="17" spans="1:10" x14ac:dyDescent="0.2">
      <c r="A17" s="18" t="str">
        <f>Table1[Invoice + Item]</f>
        <v>9562-1A</v>
      </c>
      <c r="B17" s="6" t="str">
        <f t="shared" si="0"/>
        <v>Heroin,Fentanyl</v>
      </c>
      <c r="C17" s="6">
        <f t="array" ref="C17:J17">IFERROR(INDEX(Table1[IDed Compounds], SMALL(IF($A17 =Table1[Invoice + Item], ROW(Table1[IDed Compounds]) - 3, ""), COLUMN() - 2)), "")</f>
        <v>0</v>
      </c>
      <c r="D17" s="6">
        <v>0</v>
      </c>
      <c r="E17" s="6" t="str">
        <v>Heroin</v>
      </c>
      <c r="F17" s="6" t="str">
        <v>Fentanyl</v>
      </c>
      <c r="G17" s="6" t="str">
        <v/>
      </c>
      <c r="H17" s="6" t="str">
        <v/>
      </c>
      <c r="I17" s="6" t="str">
        <v/>
      </c>
      <c r="J17" s="6" t="str">
        <v/>
      </c>
    </row>
    <row r="18" spans="1:10" x14ac:dyDescent="0.2">
      <c r="A18" s="18" t="str">
        <f>Table1[Invoice + Item]</f>
        <v>9562-1A</v>
      </c>
      <c r="B18" s="6" t="str">
        <f t="shared" si="0"/>
        <v>Heroin,Fentanyl</v>
      </c>
      <c r="C18" s="6">
        <f t="array" ref="C18:J18">IFERROR(INDEX(Table1[IDed Compounds], SMALL(IF($A18 =Table1[Invoice + Item], ROW(Table1[IDed Compounds]) - 3, ""), COLUMN() - 2)), "")</f>
        <v>0</v>
      </c>
      <c r="D18" s="6">
        <v>0</v>
      </c>
      <c r="E18" s="6" t="str">
        <v>Heroin</v>
      </c>
      <c r="F18" s="6" t="str">
        <v>Fentanyl</v>
      </c>
      <c r="G18" s="6" t="str">
        <v/>
      </c>
      <c r="H18" s="6" t="str">
        <v/>
      </c>
      <c r="I18" s="6" t="str">
        <v/>
      </c>
      <c r="J18" s="6" t="str">
        <v/>
      </c>
    </row>
    <row r="19" spans="1:10" x14ac:dyDescent="0.2">
      <c r="A19" s="18" t="str">
        <f>Table1[Invoice + Item]</f>
        <v>9562-2A</v>
      </c>
      <c r="B19" s="6" t="str">
        <f t="shared" si="0"/>
        <v>Heroin,Fentanyl</v>
      </c>
      <c r="C19" s="6">
        <f t="array" ref="C19:J19">IFERROR(INDEX(Table1[IDed Compounds], SMALL(IF($A19 =Table1[Invoice + Item], ROW(Table1[IDed Compounds]) - 3, ""), COLUMN() - 2)), "")</f>
        <v>0</v>
      </c>
      <c r="D19" s="6">
        <v>0</v>
      </c>
      <c r="E19" s="6" t="str">
        <v>Heroin</v>
      </c>
      <c r="F19" s="6" t="str">
        <v>Fentanyl</v>
      </c>
      <c r="G19" s="6" t="str">
        <v/>
      </c>
      <c r="H19" s="6" t="str">
        <v/>
      </c>
      <c r="I19" s="6" t="str">
        <v/>
      </c>
      <c r="J19" s="6" t="str">
        <v/>
      </c>
    </row>
    <row r="20" spans="1:10" x14ac:dyDescent="0.2">
      <c r="A20" s="18" t="str">
        <f>Table1[Invoice + Item]</f>
        <v>9562-2A</v>
      </c>
      <c r="B20" s="6" t="str">
        <f t="shared" si="0"/>
        <v>Heroin,Fentanyl</v>
      </c>
      <c r="C20" s="6">
        <f t="array" ref="C20:J20">IFERROR(INDEX(Table1[IDed Compounds], SMALL(IF($A20 =Table1[Invoice + Item], ROW(Table1[IDed Compounds]) - 3, ""), COLUMN() - 2)), "")</f>
        <v>0</v>
      </c>
      <c r="D20" s="6">
        <v>0</v>
      </c>
      <c r="E20" s="6" t="str">
        <v>Heroin</v>
      </c>
      <c r="F20" s="6" t="str">
        <v>Fentanyl</v>
      </c>
      <c r="G20" s="6" t="str">
        <v/>
      </c>
      <c r="H20" s="6" t="str">
        <v/>
      </c>
      <c r="I20" s="6" t="str">
        <v/>
      </c>
      <c r="J20" s="6" t="str">
        <v/>
      </c>
    </row>
    <row r="21" spans="1:10" x14ac:dyDescent="0.2">
      <c r="A21" s="18" t="str">
        <f>Table1[Invoice + Item]</f>
        <v>9562-2A</v>
      </c>
      <c r="B21" s="6" t="str">
        <f t="shared" si="0"/>
        <v>Heroin,Fentanyl</v>
      </c>
      <c r="C21" s="6">
        <f t="array" ref="C21:J21">IFERROR(INDEX(Table1[IDed Compounds], SMALL(IF($A21 =Table1[Invoice + Item], ROW(Table1[IDed Compounds]) - 3, ""), COLUMN() - 2)), "")</f>
        <v>0</v>
      </c>
      <c r="D21" s="6">
        <v>0</v>
      </c>
      <c r="E21" s="6" t="str">
        <v>Heroin</v>
      </c>
      <c r="F21" s="6" t="str">
        <v>Fentanyl</v>
      </c>
      <c r="G21" s="6" t="str">
        <v/>
      </c>
      <c r="H21" s="6" t="str">
        <v/>
      </c>
      <c r="I21" s="6" t="str">
        <v/>
      </c>
      <c r="J21" s="6" t="str">
        <v/>
      </c>
    </row>
    <row r="22" spans="1:10" x14ac:dyDescent="0.2">
      <c r="A22" s="18" t="str">
        <f>Table1[Invoice + Item]</f>
        <v>9562-2A</v>
      </c>
      <c r="B22" s="6" t="str">
        <f t="shared" si="0"/>
        <v>Heroin,Fentanyl</v>
      </c>
      <c r="C22" s="6">
        <f t="array" ref="C22:J22">IFERROR(INDEX(Table1[IDed Compounds], SMALL(IF($A22 =Table1[Invoice + Item], ROW(Table1[IDed Compounds]) - 3, ""), COLUMN() - 2)), "")</f>
        <v>0</v>
      </c>
      <c r="D22" s="6">
        <v>0</v>
      </c>
      <c r="E22" s="6" t="str">
        <v>Heroin</v>
      </c>
      <c r="F22" s="6" t="str">
        <v>Fentanyl</v>
      </c>
      <c r="G22" s="6" t="str">
        <v/>
      </c>
      <c r="H22" s="6" t="str">
        <v/>
      </c>
      <c r="I22" s="6" t="str">
        <v/>
      </c>
      <c r="J22" s="6" t="str">
        <v/>
      </c>
    </row>
    <row r="23" spans="1:10" x14ac:dyDescent="0.2">
      <c r="A23" s="18" t="str">
        <f>Table1[Invoice + Item]</f>
        <v>8191-12</v>
      </c>
      <c r="B23" s="6" t="str">
        <f t="shared" si="0"/>
        <v>Methamphetamine</v>
      </c>
      <c r="C23" s="6" t="str">
        <f t="array" ref="C23:J23">IFERROR(INDEX(Table1[IDed Compounds], SMALL(IF($A23 =Table1[Invoice + Item], ROW(Table1[IDed Compounds]) - 3, ""), COLUMN() - 2)), "")</f>
        <v>Methamphetamine</v>
      </c>
      <c r="D23" s="6" t="str">
        <v/>
      </c>
      <c r="E23" s="6" t="str">
        <v/>
      </c>
      <c r="F23" s="6" t="str">
        <v/>
      </c>
      <c r="G23" s="6" t="str">
        <v/>
      </c>
      <c r="H23" s="6" t="str">
        <v/>
      </c>
      <c r="I23" s="6" t="str">
        <v/>
      </c>
      <c r="J23" s="6" t="str">
        <v/>
      </c>
    </row>
    <row r="24" spans="1:10" x14ac:dyDescent="0.2">
      <c r="A24" s="18" t="str">
        <f>Table1[Invoice + Item]</f>
        <v>9496-1</v>
      </c>
      <c r="B24" s="6" t="str">
        <f t="shared" si="0"/>
        <v>NCSI</v>
      </c>
      <c r="C24" s="6" t="str">
        <f t="array" ref="C24:J24">IFERROR(INDEX(Table1[IDed Compounds], SMALL(IF($A24 =Table1[Invoice + Item], ROW(Table1[IDed Compounds]) - 3, ""), COLUMN() - 2)), "")</f>
        <v>NCSI</v>
      </c>
      <c r="D24" s="6">
        <v>0</v>
      </c>
      <c r="E24" s="6" t="str">
        <v/>
      </c>
      <c r="F24" s="6" t="str">
        <v/>
      </c>
      <c r="G24" s="6" t="str">
        <v/>
      </c>
      <c r="H24" s="6" t="str">
        <v/>
      </c>
      <c r="I24" s="6" t="str">
        <v/>
      </c>
      <c r="J24" s="6" t="str">
        <v/>
      </c>
    </row>
    <row r="25" spans="1:10" x14ac:dyDescent="0.2">
      <c r="A25" s="18" t="str">
        <f>Table1[Invoice + Item]</f>
        <v>9496-1</v>
      </c>
      <c r="B25" s="6" t="str">
        <f t="shared" si="0"/>
        <v>NCSI</v>
      </c>
      <c r="C25" s="6" t="str">
        <f t="array" ref="C25:J25">IFERROR(INDEX(Table1[IDed Compounds], SMALL(IF($A25 =Table1[Invoice + Item], ROW(Table1[IDed Compounds]) - 3, ""), COLUMN() - 2)), "")</f>
        <v>NCSI</v>
      </c>
      <c r="D25" s="6">
        <v>0</v>
      </c>
      <c r="E25" s="6" t="str">
        <v/>
      </c>
      <c r="F25" s="6" t="str">
        <v/>
      </c>
      <c r="G25" s="6" t="str">
        <v/>
      </c>
      <c r="H25" s="6" t="str">
        <v/>
      </c>
      <c r="I25" s="6" t="str">
        <v/>
      </c>
      <c r="J25" s="6" t="str">
        <v/>
      </c>
    </row>
    <row r="26" spans="1:10" x14ac:dyDescent="0.2">
      <c r="A26" s="18" t="str">
        <f>Table1[Invoice + Item]</f>
        <v>0396-1</v>
      </c>
      <c r="B26" s="6" t="str">
        <f t="shared" si="0"/>
        <v>Cocaine</v>
      </c>
      <c r="C26" s="6" t="str">
        <f t="array" ref="C26:J26">IFERROR(INDEX(Table1[IDed Compounds], SMALL(IF($A26 =Table1[Invoice + Item], ROW(Table1[IDed Compounds]) - 3, ""), COLUMN() - 2)), "")</f>
        <v>Cocaine</v>
      </c>
      <c r="D26" s="6" t="str">
        <v/>
      </c>
      <c r="E26" s="6" t="str">
        <v/>
      </c>
      <c r="F26" s="6" t="str">
        <v/>
      </c>
      <c r="G26" s="6" t="str">
        <v/>
      </c>
      <c r="H26" s="6" t="str">
        <v/>
      </c>
      <c r="I26" s="6" t="str">
        <v/>
      </c>
      <c r="J26" s="6" t="str">
        <v/>
      </c>
    </row>
    <row r="27" spans="1:10" x14ac:dyDescent="0.2">
      <c r="A27" s="18" t="str">
        <f>Table1[Invoice + Item]</f>
        <v>7744-1</v>
      </c>
      <c r="B27" s="6" t="str">
        <f t="shared" si="0"/>
        <v>Tramadol</v>
      </c>
      <c r="C27" s="6" t="str">
        <f t="array" ref="C27:J27">IFERROR(INDEX(Table1[IDed Compounds], SMALL(IF($A27 =Table1[Invoice + Item], ROW(Table1[IDed Compounds]) - 3, ""), COLUMN() - 2)), "")</f>
        <v>Tramadol</v>
      </c>
      <c r="D27" s="6" t="str">
        <v/>
      </c>
      <c r="E27" s="6" t="str">
        <v/>
      </c>
      <c r="F27" s="6" t="str">
        <v/>
      </c>
      <c r="G27" s="6" t="str">
        <v/>
      </c>
      <c r="H27" s="6" t="str">
        <v/>
      </c>
      <c r="I27" s="6" t="str">
        <v/>
      </c>
      <c r="J27" s="6" t="str">
        <v/>
      </c>
    </row>
    <row r="28" spans="1:10" x14ac:dyDescent="0.2">
      <c r="A28" s="18" t="str">
        <f>Table1[Invoice + Item]</f>
        <v>7744-2</v>
      </c>
      <c r="B28" s="6" t="str">
        <f t="shared" si="0"/>
        <v>Tramadol</v>
      </c>
      <c r="C28" s="6" t="str">
        <f t="array" ref="C28:J28">IFERROR(INDEX(Table1[IDed Compounds], SMALL(IF($A28 =Table1[Invoice + Item], ROW(Table1[IDed Compounds]) - 3, ""), COLUMN() - 2)), "")</f>
        <v>Tramadol</v>
      </c>
      <c r="D28" s="6" t="str">
        <v/>
      </c>
      <c r="E28" s="6" t="str">
        <v/>
      </c>
      <c r="F28" s="6" t="str">
        <v/>
      </c>
      <c r="G28" s="6" t="str">
        <v/>
      </c>
      <c r="H28" s="6" t="str">
        <v/>
      </c>
      <c r="I28" s="6" t="str">
        <v/>
      </c>
      <c r="J28" s="6" t="str">
        <v/>
      </c>
    </row>
    <row r="29" spans="1:10" x14ac:dyDescent="0.2">
      <c r="A29" s="18" t="str">
        <f>Table1[Invoice + Item]</f>
        <v>9589-1A</v>
      </c>
      <c r="B29" s="6" t="str">
        <f t="shared" si="0"/>
        <v>Cocaine</v>
      </c>
      <c r="C29" s="6">
        <f t="array" ref="C29:J29">IFERROR(INDEX(Table1[IDed Compounds], SMALL(IF($A29 =Table1[Invoice + Item], ROW(Table1[IDed Compounds]) - 3, ""), COLUMN() - 2)), "")</f>
        <v>0</v>
      </c>
      <c r="D29" s="6" t="str">
        <v>Cocaine</v>
      </c>
      <c r="E29" s="6" t="str">
        <v/>
      </c>
      <c r="F29" s="6" t="str">
        <v/>
      </c>
      <c r="G29" s="6" t="str">
        <v/>
      </c>
      <c r="H29" s="6" t="str">
        <v/>
      </c>
      <c r="I29" s="6" t="str">
        <v/>
      </c>
      <c r="J29" s="6" t="str">
        <v/>
      </c>
    </row>
    <row r="30" spans="1:10" x14ac:dyDescent="0.2">
      <c r="A30" s="18" t="str">
        <f>Table1[Invoice + Item]</f>
        <v>9589-1A</v>
      </c>
      <c r="B30" s="6" t="str">
        <f t="shared" si="0"/>
        <v>Cocaine</v>
      </c>
      <c r="C30" s="6">
        <f t="array" ref="C30:J30">IFERROR(INDEX(Table1[IDed Compounds], SMALL(IF($A30 =Table1[Invoice + Item], ROW(Table1[IDed Compounds]) - 3, ""), COLUMN() - 2)), "")</f>
        <v>0</v>
      </c>
      <c r="D30" s="6" t="str">
        <v>Cocaine</v>
      </c>
      <c r="E30" s="6" t="str">
        <v/>
      </c>
      <c r="F30" s="6" t="str">
        <v/>
      </c>
      <c r="G30" s="6" t="str">
        <v/>
      </c>
      <c r="H30" s="6" t="str">
        <v/>
      </c>
      <c r="I30" s="6" t="str">
        <v/>
      </c>
      <c r="J30" s="6" t="str">
        <v/>
      </c>
    </row>
    <row r="31" spans="1:10" x14ac:dyDescent="0.2">
      <c r="A31" s="18" t="str">
        <f>Table1[Invoice + Item]</f>
        <v>8089-1</v>
      </c>
      <c r="B31" s="6" t="str">
        <f t="shared" si="0"/>
        <v>Cocaine</v>
      </c>
      <c r="C31" s="6" t="str">
        <f t="array" ref="C31:J31">IFERROR(INDEX(Table1[IDed Compounds], SMALL(IF($A31 =Table1[Invoice + Item], ROW(Table1[IDed Compounds]) - 3, ""), COLUMN() - 2)), "")</f>
        <v>Cocaine</v>
      </c>
      <c r="D31" s="6" t="str">
        <v/>
      </c>
      <c r="E31" s="6" t="str">
        <v/>
      </c>
      <c r="F31" s="6" t="str">
        <v/>
      </c>
      <c r="G31" s="6" t="str">
        <v/>
      </c>
      <c r="H31" s="6" t="str">
        <v/>
      </c>
      <c r="I31" s="6" t="str">
        <v/>
      </c>
      <c r="J31" s="6" t="str">
        <v/>
      </c>
    </row>
    <row r="32" spans="1:10" x14ac:dyDescent="0.2">
      <c r="A32" s="18" t="str">
        <f>Table1[Invoice + Item]</f>
        <v>8089-2</v>
      </c>
      <c r="B32" s="6" t="str">
        <f t="shared" si="0"/>
        <v>Marihuana</v>
      </c>
      <c r="C32" s="6" t="str">
        <f t="array" ref="C32:J32">IFERROR(INDEX(Table1[IDed Compounds], SMALL(IF($A32 =Table1[Invoice + Item], ROW(Table1[IDed Compounds]) - 3, ""), COLUMN() - 2)), "")</f>
        <v>Marihuana</v>
      </c>
      <c r="D32" s="6" t="str">
        <v/>
      </c>
      <c r="E32" s="6" t="str">
        <v/>
      </c>
      <c r="F32" s="6" t="str">
        <v/>
      </c>
      <c r="G32" s="6" t="str">
        <v/>
      </c>
      <c r="H32" s="6" t="str">
        <v/>
      </c>
      <c r="I32" s="6" t="str">
        <v/>
      </c>
      <c r="J32" s="6" t="str">
        <v/>
      </c>
    </row>
    <row r="33" spans="1:10" x14ac:dyDescent="0.2">
      <c r="A33" s="18" t="str">
        <f>Table1[Invoice + Item]</f>
        <v>8718-1</v>
      </c>
      <c r="B33" s="6" t="str">
        <f t="shared" si="0"/>
        <v>Methamphetamine</v>
      </c>
      <c r="C33" s="6" t="str">
        <f t="array" ref="C33:J33">IFERROR(INDEX(Table1[IDed Compounds], SMALL(IF($A33 =Table1[Invoice + Item], ROW(Table1[IDed Compounds]) - 3, ""), COLUMN() - 2)), "")</f>
        <v>Methamphetamine</v>
      </c>
      <c r="D33" s="6" t="str">
        <v/>
      </c>
      <c r="E33" s="6" t="str">
        <v/>
      </c>
      <c r="F33" s="6" t="str">
        <v/>
      </c>
      <c r="G33" s="6" t="str">
        <v/>
      </c>
      <c r="H33" s="6" t="str">
        <v/>
      </c>
      <c r="I33" s="6" t="str">
        <v/>
      </c>
      <c r="J33" s="6" t="str">
        <v/>
      </c>
    </row>
    <row r="34" spans="1:10" x14ac:dyDescent="0.2">
      <c r="A34" s="18" t="str">
        <f>Table1[Invoice + Item]</f>
        <v>8896-14</v>
      </c>
      <c r="B34" s="6" t="str">
        <f t="shared" si="0"/>
        <v>Ketamine</v>
      </c>
      <c r="C34" s="6" t="str">
        <f t="array" ref="C34:J34">IFERROR(INDEX(Table1[IDed Compounds], SMALL(IF($A34 =Table1[Invoice + Item], ROW(Table1[IDed Compounds]) - 3, ""), COLUMN() - 2)), "")</f>
        <v>Ketamine</v>
      </c>
      <c r="D34" s="6" t="str">
        <v/>
      </c>
      <c r="E34" s="6" t="str">
        <v/>
      </c>
      <c r="F34" s="6" t="str">
        <v/>
      </c>
      <c r="G34" s="6" t="str">
        <v/>
      </c>
      <c r="H34" s="6" t="str">
        <v/>
      </c>
      <c r="I34" s="6" t="str">
        <v/>
      </c>
      <c r="J34" s="6" t="str">
        <v/>
      </c>
    </row>
    <row r="35" spans="1:10" x14ac:dyDescent="0.2">
      <c r="A35" s="18" t="str">
        <f>Table1[Invoice + Item]</f>
        <v>8896-5A</v>
      </c>
      <c r="B35" s="6" t="str">
        <f t="shared" si="0"/>
        <v>Ketamine</v>
      </c>
      <c r="C35" s="6" t="str">
        <f t="array" ref="C35:J35">IFERROR(INDEX(Table1[IDed Compounds], SMALL(IF($A35 =Table1[Invoice + Item], ROW(Table1[IDed Compounds]) - 3, ""), COLUMN() - 2)), "")</f>
        <v>Ketamine</v>
      </c>
      <c r="D35" s="6" t="str">
        <v/>
      </c>
      <c r="E35" s="6" t="str">
        <v/>
      </c>
      <c r="F35" s="6" t="str">
        <v/>
      </c>
      <c r="G35" s="6" t="str">
        <v/>
      </c>
      <c r="H35" s="6" t="str">
        <v/>
      </c>
      <c r="I35" s="6" t="str">
        <v/>
      </c>
      <c r="J35" s="6" t="str">
        <v/>
      </c>
    </row>
    <row r="36" spans="1:10" x14ac:dyDescent="0.2">
      <c r="A36" s="18" t="str">
        <f>Table1[Invoice + Item]</f>
        <v>8896-7</v>
      </c>
      <c r="B36" s="6" t="str">
        <f t="shared" si="0"/>
        <v>Methamphetamine</v>
      </c>
      <c r="C36" s="6" t="str">
        <f t="array" ref="C36:J36">IFERROR(INDEX(Table1[IDed Compounds], SMALL(IF($A36 =Table1[Invoice + Item], ROW(Table1[IDed Compounds]) - 3, ""), COLUMN() - 2)), "")</f>
        <v>Methamphetamine</v>
      </c>
      <c r="D36" s="6" t="str">
        <v/>
      </c>
      <c r="E36" s="6" t="str">
        <v/>
      </c>
      <c r="F36" s="6" t="str">
        <v/>
      </c>
      <c r="G36" s="6" t="str">
        <v/>
      </c>
      <c r="H36" s="6" t="str">
        <v/>
      </c>
      <c r="I36" s="6" t="str">
        <v/>
      </c>
      <c r="J36" s="6" t="str">
        <v/>
      </c>
    </row>
    <row r="37" spans="1:10" x14ac:dyDescent="0.2">
      <c r="A37" s="18" t="str">
        <f>Table1[Invoice + Item]</f>
        <v>9893-1</v>
      </c>
      <c r="B37" s="6" t="str">
        <f t="shared" si="0"/>
        <v>Heroin,Fentanyl</v>
      </c>
      <c r="C37" s="6" t="str">
        <f t="array" ref="C37:J37">IFERROR(INDEX(Table1[IDed Compounds], SMALL(IF($A37 =Table1[Invoice + Item], ROW(Table1[IDed Compounds]) - 3, ""), COLUMN() - 2)), "")</f>
        <v>Heroin</v>
      </c>
      <c r="D37" s="6" t="str">
        <v>Fentanyl</v>
      </c>
      <c r="E37" s="6" t="str">
        <v/>
      </c>
      <c r="F37" s="6" t="str">
        <v/>
      </c>
      <c r="G37" s="6" t="str">
        <v/>
      </c>
      <c r="H37" s="6" t="str">
        <v/>
      </c>
      <c r="I37" s="6" t="str">
        <v/>
      </c>
      <c r="J37" s="6" t="str">
        <v/>
      </c>
    </row>
    <row r="38" spans="1:10" x14ac:dyDescent="0.2">
      <c r="A38" s="18" t="str">
        <f>Table1[Invoice + Item]</f>
        <v>9893-1</v>
      </c>
      <c r="B38" s="6" t="str">
        <f t="shared" si="0"/>
        <v>Heroin,Fentanyl</v>
      </c>
      <c r="C38" s="6" t="str">
        <f t="array" ref="C38:J38">IFERROR(INDEX(Table1[IDed Compounds], SMALL(IF($A38 =Table1[Invoice + Item], ROW(Table1[IDed Compounds]) - 3, ""), COLUMN() - 2)), "")</f>
        <v>Heroin</v>
      </c>
      <c r="D38" s="6" t="str">
        <v>Fentanyl</v>
      </c>
      <c r="E38" s="6" t="str">
        <v/>
      </c>
      <c r="F38" s="6" t="str">
        <v/>
      </c>
      <c r="G38" s="6" t="str">
        <v/>
      </c>
      <c r="H38" s="6" t="str">
        <v/>
      </c>
      <c r="I38" s="6" t="str">
        <v/>
      </c>
      <c r="J38" s="6" t="str">
        <v/>
      </c>
    </row>
    <row r="39" spans="1:10" x14ac:dyDescent="0.2">
      <c r="A39" s="18" t="str">
        <f>Table1[Invoice + Item]</f>
        <v>0303-1</v>
      </c>
      <c r="B39" s="6" t="str">
        <f t="shared" si="0"/>
        <v>Cocaine</v>
      </c>
      <c r="C39" s="6" t="str">
        <f t="array" ref="C39:J39">IFERROR(INDEX(Table1[IDed Compounds], SMALL(IF($A39 =Table1[Invoice + Item], ROW(Table1[IDed Compounds]) - 3, ""), COLUMN() - 2)), "")</f>
        <v>Cocaine</v>
      </c>
      <c r="D39" s="6" t="str">
        <v/>
      </c>
      <c r="E39" s="6" t="str">
        <v/>
      </c>
      <c r="F39" s="6" t="str">
        <v/>
      </c>
      <c r="G39" s="6" t="str">
        <v/>
      </c>
      <c r="H39" s="6" t="str">
        <v/>
      </c>
      <c r="I39" s="6" t="str">
        <v/>
      </c>
      <c r="J39" s="6" t="str">
        <v/>
      </c>
    </row>
    <row r="40" spans="1:10" x14ac:dyDescent="0.2">
      <c r="A40" s="18" t="str">
        <f>Table1[Invoice + Item]</f>
        <v>0303-2A</v>
      </c>
      <c r="B40" s="6" t="str">
        <f t="shared" si="0"/>
        <v>Heroin,Cocaine</v>
      </c>
      <c r="C40" s="6" t="str">
        <f t="array" ref="C40:J40">IFERROR(INDEX(Table1[IDed Compounds], SMALL(IF($A40 =Table1[Invoice + Item], ROW(Table1[IDed Compounds]) - 3, ""), COLUMN() - 2)), "")</f>
        <v>Heroin</v>
      </c>
      <c r="D40" s="6" t="str">
        <v>Cocaine</v>
      </c>
      <c r="E40" s="6" t="str">
        <v/>
      </c>
      <c r="F40" s="6" t="str">
        <v/>
      </c>
      <c r="G40" s="6" t="str">
        <v/>
      </c>
      <c r="H40" s="6" t="str">
        <v/>
      </c>
      <c r="I40" s="6" t="str">
        <v/>
      </c>
      <c r="J40" s="6" t="str">
        <v/>
      </c>
    </row>
    <row r="41" spans="1:10" x14ac:dyDescent="0.2">
      <c r="A41" s="18" t="str">
        <f>Table1[Invoice + Item]</f>
        <v>0303-2A</v>
      </c>
      <c r="B41" s="6" t="str">
        <f t="shared" si="0"/>
        <v>Heroin,Cocaine</v>
      </c>
      <c r="C41" s="6" t="str">
        <f t="array" ref="C41:J41">IFERROR(INDEX(Table1[IDed Compounds], SMALL(IF($A41 =Table1[Invoice + Item], ROW(Table1[IDed Compounds]) - 3, ""), COLUMN() - 2)), "")</f>
        <v>Heroin</v>
      </c>
      <c r="D41" s="6" t="str">
        <v>Cocaine</v>
      </c>
      <c r="E41" s="6" t="str">
        <v/>
      </c>
      <c r="F41" s="6" t="str">
        <v/>
      </c>
      <c r="G41" s="6" t="str">
        <v/>
      </c>
      <c r="H41" s="6" t="str">
        <v/>
      </c>
      <c r="I41" s="6" t="str">
        <v/>
      </c>
      <c r="J41" s="6" t="str">
        <v/>
      </c>
    </row>
    <row r="42" spans="1:10" x14ac:dyDescent="0.2">
      <c r="A42" s="18" t="str">
        <f>Table1[Invoice + Item]</f>
        <v>0303-2B</v>
      </c>
      <c r="B42" s="6" t="str">
        <f t="shared" si="0"/>
        <v>Heroin,Tramadol,Fentanyl</v>
      </c>
      <c r="C42" s="6">
        <f t="array" ref="C42:J42">IFERROR(INDEX(Table1[IDed Compounds], SMALL(IF($A42 =Table1[Invoice + Item], ROW(Table1[IDed Compounds]) - 3, ""), COLUMN() - 2)), "")</f>
        <v>0</v>
      </c>
      <c r="D42" s="6" t="str">
        <v>Heroin</v>
      </c>
      <c r="E42" s="6" t="str">
        <v>Tramadol</v>
      </c>
      <c r="F42" s="6" t="str">
        <v>Fentanyl</v>
      </c>
      <c r="G42" s="6" t="str">
        <v/>
      </c>
      <c r="H42" s="6" t="str">
        <v/>
      </c>
      <c r="I42" s="6" t="str">
        <v/>
      </c>
      <c r="J42" s="6" t="str">
        <v/>
      </c>
    </row>
    <row r="43" spans="1:10" x14ac:dyDescent="0.2">
      <c r="A43" s="18" t="str">
        <f>Table1[Invoice + Item]</f>
        <v>0303-2B</v>
      </c>
      <c r="B43" s="6" t="str">
        <f t="shared" si="0"/>
        <v>Heroin,Tramadol,Fentanyl</v>
      </c>
      <c r="C43" s="6">
        <f t="array" ref="C43:J43">IFERROR(INDEX(Table1[IDed Compounds], SMALL(IF($A43 =Table1[Invoice + Item], ROW(Table1[IDed Compounds]) - 3, ""), COLUMN() - 2)), "")</f>
        <v>0</v>
      </c>
      <c r="D43" s="6" t="str">
        <v>Heroin</v>
      </c>
      <c r="E43" s="6" t="str">
        <v>Tramadol</v>
      </c>
      <c r="F43" s="6" t="str">
        <v>Fentanyl</v>
      </c>
      <c r="G43" s="6" t="str">
        <v/>
      </c>
      <c r="H43" s="6" t="str">
        <v/>
      </c>
      <c r="I43" s="6" t="str">
        <v/>
      </c>
      <c r="J43" s="6" t="str">
        <v/>
      </c>
    </row>
    <row r="44" spans="1:10" x14ac:dyDescent="0.2">
      <c r="A44" s="18" t="str">
        <f>Table1[Invoice + Item]</f>
        <v>0303-2B</v>
      </c>
      <c r="B44" s="6" t="str">
        <f t="shared" si="0"/>
        <v>Heroin,Tramadol,Fentanyl</v>
      </c>
      <c r="C44" s="6">
        <f t="array" ref="C44:J44">IFERROR(INDEX(Table1[IDed Compounds], SMALL(IF($A44 =Table1[Invoice + Item], ROW(Table1[IDed Compounds]) - 3, ""), COLUMN() - 2)), "")</f>
        <v>0</v>
      </c>
      <c r="D44" s="6" t="str">
        <v>Heroin</v>
      </c>
      <c r="E44" s="6" t="str">
        <v>Tramadol</v>
      </c>
      <c r="F44" s="6" t="str">
        <v>Fentanyl</v>
      </c>
      <c r="G44" s="6" t="str">
        <v/>
      </c>
      <c r="H44" s="6" t="str">
        <v/>
      </c>
      <c r="I44" s="6" t="str">
        <v/>
      </c>
      <c r="J44" s="6" t="str">
        <v/>
      </c>
    </row>
    <row r="45" spans="1:10" x14ac:dyDescent="0.2">
      <c r="A45" s="18" t="str">
        <f>Table1[Invoice + Item]</f>
        <v>0303-2B</v>
      </c>
      <c r="B45" s="6" t="str">
        <f t="shared" si="0"/>
        <v>Heroin,Tramadol,Fentanyl</v>
      </c>
      <c r="C45" s="6">
        <f t="array" ref="C45:J45">IFERROR(INDEX(Table1[IDed Compounds], SMALL(IF($A45 =Table1[Invoice + Item], ROW(Table1[IDed Compounds]) - 3, ""), COLUMN() - 2)), "")</f>
        <v>0</v>
      </c>
      <c r="D45" s="6" t="str">
        <v>Heroin</v>
      </c>
      <c r="E45" s="6" t="str">
        <v>Tramadol</v>
      </c>
      <c r="F45" s="6" t="str">
        <v>Fentanyl</v>
      </c>
      <c r="G45" s="6" t="str">
        <v/>
      </c>
      <c r="H45" s="6" t="str">
        <v/>
      </c>
      <c r="I45" s="6" t="str">
        <v/>
      </c>
      <c r="J45" s="6" t="str">
        <v/>
      </c>
    </row>
    <row r="689" spans="2:2" x14ac:dyDescent="0.2">
      <c r="B689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5" spans="2:2" x14ac:dyDescent="0.2">
      <c r="B705" s="3"/>
    </row>
    <row r="706" spans="2:2" x14ac:dyDescent="0.2">
      <c r="B706" s="3"/>
    </row>
  </sheetData>
  <autoFilter ref="A3:J621"/>
  <conditionalFormatting sqref="A3">
    <cfRule type="duplicateValues" dxfId="22" priority="5" stopIfTrue="1"/>
  </conditionalFormatting>
  <conditionalFormatting sqref="A4:A45">
    <cfRule type="duplicateValues" dxfId="21" priority="22" stopIfTrue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5"/>
  <sheetViews>
    <sheetView topLeftCell="A25" workbookViewId="0">
      <selection activeCell="A46" sqref="A46:J621"/>
    </sheetView>
  </sheetViews>
  <sheetFormatPr defaultRowHeight="12.75" x14ac:dyDescent="0.2"/>
  <cols>
    <col min="1" max="1" width="28.42578125" bestFit="1" customWidth="1"/>
    <col min="2" max="2" width="78" bestFit="1" customWidth="1"/>
    <col min="3" max="4" width="39.28515625" bestFit="1" customWidth="1"/>
    <col min="5" max="5" width="27.42578125" bestFit="1" customWidth="1"/>
    <col min="6" max="6" width="14" bestFit="1" customWidth="1"/>
    <col min="7" max="7" width="9.7109375" bestFit="1" customWidth="1"/>
    <col min="8" max="10" width="5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6" t="s">
        <v>43</v>
      </c>
      <c r="B3" s="27" t="s">
        <v>45</v>
      </c>
      <c r="C3" s="28" t="s">
        <v>47</v>
      </c>
      <c r="D3" s="28" t="s">
        <v>48</v>
      </c>
      <c r="E3" s="28" t="s">
        <v>49</v>
      </c>
      <c r="F3" s="28" t="s">
        <v>50</v>
      </c>
      <c r="G3" s="28" t="s">
        <v>51</v>
      </c>
      <c r="H3" s="28" t="s">
        <v>52</v>
      </c>
      <c r="I3" s="28" t="s">
        <v>53</v>
      </c>
      <c r="J3" s="28" t="s">
        <v>54</v>
      </c>
    </row>
    <row r="4" spans="1:10" x14ac:dyDescent="0.2">
      <c r="A4" s="29" t="str">
        <f>Table1[Invoice + Item]</f>
        <v>0277-1</v>
      </c>
      <c r="B4" s="30" t="str">
        <f t="shared" ref="B4:B45" si="0">MyConcat(C4:J4)</f>
        <v/>
      </c>
      <c r="C4" s="30" t="str">
        <f t="array" ref="C4:J4">IFERROR(INDEX(Table1[Other INDs], SMALL(IF($A4 =Table1[Invoice + Item], ROW(Table1[Other INDs]) - 3, ""), COLUMN() - 2)), "")</f>
        <v/>
      </c>
      <c r="D4" s="30" t="str">
        <v/>
      </c>
      <c r="E4" s="30" t="str">
        <v/>
      </c>
      <c r="F4" s="30" t="str">
        <v/>
      </c>
      <c r="G4" s="30" t="str">
        <v/>
      </c>
      <c r="H4" s="30" t="str">
        <v/>
      </c>
      <c r="I4" s="30" t="str">
        <v/>
      </c>
      <c r="J4" s="30" t="str">
        <v/>
      </c>
    </row>
    <row r="5" spans="1:10" x14ac:dyDescent="0.2">
      <c r="A5" s="29" t="str">
        <f>Table1[Invoice + Item]</f>
        <v>8197-4A</v>
      </c>
      <c r="B5" s="30" t="str">
        <f t="shared" si="0"/>
        <v/>
      </c>
      <c r="C5" s="30" t="str">
        <f t="array" ref="C5:J5">IFERROR(INDEX(Table1[Other INDs], SMALL(IF($A5 =Table1[Invoice + Item], ROW(Table1[Other INDs]) - 3, ""), COLUMN() - 2)), "")</f>
        <v/>
      </c>
      <c r="D5" s="30" t="str">
        <v/>
      </c>
      <c r="E5" s="30" t="str">
        <v/>
      </c>
      <c r="F5" s="30" t="str">
        <v/>
      </c>
      <c r="G5" s="30" t="str">
        <v/>
      </c>
      <c r="H5" s="30" t="str">
        <v/>
      </c>
      <c r="I5" s="30" t="str">
        <v/>
      </c>
      <c r="J5" s="30" t="str">
        <v/>
      </c>
    </row>
    <row r="6" spans="1:10" x14ac:dyDescent="0.2">
      <c r="A6" s="29" t="str">
        <f>Table1[Invoice + Item]</f>
        <v>8197-4A</v>
      </c>
      <c r="B6" s="30" t="str">
        <f t="shared" si="0"/>
        <v/>
      </c>
      <c r="C6" s="30" t="str">
        <f t="array" ref="C6:J6">IFERROR(INDEX(Table1[Other INDs], SMALL(IF($A6 =Table1[Invoice + Item], ROW(Table1[Other INDs]) - 3, ""), COLUMN() - 2)), "")</f>
        <v/>
      </c>
      <c r="D6" s="30" t="str">
        <v/>
      </c>
      <c r="E6" s="30" t="str">
        <v/>
      </c>
      <c r="F6" s="30" t="str">
        <v/>
      </c>
      <c r="G6" s="30" t="str">
        <v/>
      </c>
      <c r="H6" s="30" t="str">
        <v/>
      </c>
      <c r="I6" s="30" t="str">
        <v/>
      </c>
      <c r="J6" s="30" t="str">
        <v/>
      </c>
    </row>
    <row r="7" spans="1:10" x14ac:dyDescent="0.2">
      <c r="A7" s="29" t="str">
        <f>Table1[Invoice + Item]</f>
        <v>8197-4B</v>
      </c>
      <c r="B7" s="30" t="str">
        <f t="shared" si="0"/>
        <v>Despropionyl Fluorofentanyl,Fluorobutyrylfentanyl/Fluoroisobutyrylfentanyl</v>
      </c>
      <c r="C7" s="30" t="str">
        <f t="array" ref="C7:J7">IFERROR(INDEX(Table1[Other INDs], SMALL(IF($A7 =Table1[Invoice + Item], ROW(Table1[Other INDs]) - 3, ""), COLUMN() - 2)), "")</f>
        <v/>
      </c>
      <c r="D7" s="30" t="str">
        <v/>
      </c>
      <c r="E7" s="30" t="str">
        <v>Despropionyl Fluorofentanyl</v>
      </c>
      <c r="F7" s="30" t="str">
        <v>Fluorobutyrylfentanyl/Fluoroisobutyrylfentanyl</v>
      </c>
      <c r="G7" s="30" t="str">
        <v/>
      </c>
      <c r="H7" s="30" t="str">
        <v/>
      </c>
      <c r="I7" s="30" t="str">
        <v/>
      </c>
      <c r="J7" s="30" t="str">
        <v/>
      </c>
    </row>
    <row r="8" spans="1:10" x14ac:dyDescent="0.2">
      <c r="A8" s="29" t="str">
        <f>Table1[Invoice + Item]</f>
        <v>8197-4B</v>
      </c>
      <c r="B8" s="30" t="str">
        <f t="shared" si="0"/>
        <v>Despropionyl Fluorofentanyl,Fluorobutyrylfentanyl/Fluoroisobutyrylfentanyl</v>
      </c>
      <c r="C8" s="30" t="str">
        <f t="array" ref="C8:J8">IFERROR(INDEX(Table1[Other INDs], SMALL(IF($A8 =Table1[Invoice + Item], ROW(Table1[Other INDs]) - 3, ""), COLUMN() - 2)), "")</f>
        <v/>
      </c>
      <c r="D8" s="30" t="str">
        <v/>
      </c>
      <c r="E8" s="30" t="str">
        <v>Despropionyl Fluorofentanyl</v>
      </c>
      <c r="F8" s="30" t="str">
        <v>Fluorobutyrylfentanyl/Fluoroisobutyrylfentanyl</v>
      </c>
      <c r="G8" s="30" t="str">
        <v/>
      </c>
      <c r="H8" s="30" t="str">
        <v/>
      </c>
      <c r="I8" s="30" t="str">
        <v/>
      </c>
      <c r="J8" s="30" t="str">
        <v/>
      </c>
    </row>
    <row r="9" spans="1:10" x14ac:dyDescent="0.2">
      <c r="A9" s="29" t="str">
        <f>Table1[Invoice + Item]</f>
        <v>8197-4B</v>
      </c>
      <c r="B9" s="30" t="str">
        <f t="shared" si="0"/>
        <v>Despropionyl Fluorofentanyl,Fluorobutyrylfentanyl/Fluoroisobutyrylfentanyl</v>
      </c>
      <c r="C9" s="30" t="str">
        <f t="array" ref="C9:J9">IFERROR(INDEX(Table1[Other INDs], SMALL(IF($A9 =Table1[Invoice + Item], ROW(Table1[Other INDs]) - 3, ""), COLUMN() - 2)), "")</f>
        <v/>
      </c>
      <c r="D9" s="30" t="str">
        <v/>
      </c>
      <c r="E9" s="30" t="str">
        <v>Despropionyl Fluorofentanyl</v>
      </c>
      <c r="F9" s="30" t="str">
        <v>Fluorobutyrylfentanyl/Fluoroisobutyrylfentanyl</v>
      </c>
      <c r="G9" s="30" t="str">
        <v/>
      </c>
      <c r="H9" s="30" t="str">
        <v/>
      </c>
      <c r="I9" s="30" t="str">
        <v/>
      </c>
      <c r="J9" s="30" t="str">
        <v/>
      </c>
    </row>
    <row r="10" spans="1:10" x14ac:dyDescent="0.2">
      <c r="A10" s="29" t="str">
        <f>Table1[Invoice + Item]</f>
        <v>8197-4B</v>
      </c>
      <c r="B10" s="30" t="str">
        <f t="shared" si="0"/>
        <v>Despropionyl Fluorofentanyl,Fluorobutyrylfentanyl/Fluoroisobutyrylfentanyl</v>
      </c>
      <c r="C10" s="30" t="str">
        <f t="array" ref="C10:J10">IFERROR(INDEX(Table1[Other INDs], SMALL(IF($A10 =Table1[Invoice + Item], ROW(Table1[Other INDs]) - 3, ""), COLUMN() - 2)), "")</f>
        <v/>
      </c>
      <c r="D10" s="30" t="str">
        <v/>
      </c>
      <c r="E10" s="30" t="str">
        <v>Despropionyl Fluorofentanyl</v>
      </c>
      <c r="F10" s="30" t="str">
        <v>Fluorobutyrylfentanyl/Fluoroisobutyrylfentanyl</v>
      </c>
      <c r="G10" s="30" t="str">
        <v/>
      </c>
      <c r="H10" s="30" t="str">
        <v/>
      </c>
      <c r="I10" s="30" t="str">
        <v/>
      </c>
      <c r="J10" s="30" t="str">
        <v/>
      </c>
    </row>
    <row r="11" spans="1:10" x14ac:dyDescent="0.2">
      <c r="A11" s="29" t="str">
        <f>Table1[Invoice + Item]</f>
        <v>8199-1</v>
      </c>
      <c r="B11" s="30" t="str">
        <f t="shared" si="0"/>
        <v/>
      </c>
      <c r="C11" s="30" t="str">
        <f t="array" ref="C11:J11">IFERROR(INDEX(Table1[Other INDs], SMALL(IF($A11 =Table1[Invoice + Item], ROW(Table1[Other INDs]) - 3, ""), COLUMN() - 2)), "")</f>
        <v/>
      </c>
      <c r="D11" s="30" t="str">
        <v/>
      </c>
      <c r="E11" s="30" t="str">
        <v/>
      </c>
      <c r="F11" s="30" t="str">
        <v/>
      </c>
      <c r="G11" s="30" t="str">
        <v/>
      </c>
      <c r="H11" s="30" t="str">
        <v/>
      </c>
      <c r="I11" s="30" t="str">
        <v/>
      </c>
      <c r="J11" s="30" t="str">
        <v/>
      </c>
    </row>
    <row r="12" spans="1:10" x14ac:dyDescent="0.2">
      <c r="A12" s="29" t="str">
        <f>Table1[Invoice + Item]</f>
        <v>8199-1</v>
      </c>
      <c r="B12" s="30" t="str">
        <f t="shared" si="0"/>
        <v/>
      </c>
      <c r="C12" s="30" t="str">
        <f t="array" ref="C12:J12">IFERROR(INDEX(Table1[Other INDs], SMALL(IF($A12 =Table1[Invoice + Item], ROW(Table1[Other INDs]) - 3, ""), COLUMN() - 2)), "")</f>
        <v/>
      </c>
      <c r="D12" s="30" t="str">
        <v/>
      </c>
      <c r="E12" s="30" t="str">
        <v/>
      </c>
      <c r="F12" s="30" t="str">
        <v/>
      </c>
      <c r="G12" s="30" t="str">
        <v/>
      </c>
      <c r="H12" s="30" t="str">
        <v/>
      </c>
      <c r="I12" s="30" t="str">
        <v/>
      </c>
      <c r="J12" s="30" t="str">
        <v/>
      </c>
    </row>
    <row r="13" spans="1:10" x14ac:dyDescent="0.2">
      <c r="A13" s="29" t="str">
        <f>Table1[Invoice + Item]</f>
        <v>8199-3A</v>
      </c>
      <c r="B13" s="30" t="str">
        <f t="shared" si="0"/>
        <v/>
      </c>
      <c r="C13" s="30" t="str">
        <f t="array" ref="C13:J13">IFERROR(INDEX(Table1[Other INDs], SMALL(IF($A13 =Table1[Invoice + Item], ROW(Table1[Other INDs]) - 3, ""), COLUMN() - 2)), "")</f>
        <v/>
      </c>
      <c r="D13" s="30" t="str">
        <v/>
      </c>
      <c r="E13" s="30" t="str">
        <v/>
      </c>
      <c r="F13" s="30" t="str">
        <v/>
      </c>
      <c r="G13" s="30" t="str">
        <v/>
      </c>
      <c r="H13" s="30" t="str">
        <v/>
      </c>
      <c r="I13" s="30" t="str">
        <v/>
      </c>
      <c r="J13" s="30" t="str">
        <v/>
      </c>
    </row>
    <row r="14" spans="1:10" x14ac:dyDescent="0.2">
      <c r="A14" s="29" t="str">
        <f>Table1[Invoice + Item]</f>
        <v>8199-3A</v>
      </c>
      <c r="B14" s="30" t="str">
        <f t="shared" si="0"/>
        <v/>
      </c>
      <c r="C14" s="30" t="str">
        <f t="array" ref="C14:J14">IFERROR(INDEX(Table1[Other INDs], SMALL(IF($A14 =Table1[Invoice + Item], ROW(Table1[Other INDs]) - 3, ""), COLUMN() - 2)), "")</f>
        <v/>
      </c>
      <c r="D14" s="30" t="str">
        <v/>
      </c>
      <c r="E14" s="30" t="str">
        <v/>
      </c>
      <c r="F14" s="30" t="str">
        <v/>
      </c>
      <c r="G14" s="30" t="str">
        <v/>
      </c>
      <c r="H14" s="30" t="str">
        <v/>
      </c>
      <c r="I14" s="30" t="str">
        <v/>
      </c>
      <c r="J14" s="30" t="str">
        <v/>
      </c>
    </row>
    <row r="15" spans="1:10" x14ac:dyDescent="0.2">
      <c r="A15" s="29" t="str">
        <f>Table1[Invoice + Item]</f>
        <v>9562-1A</v>
      </c>
      <c r="B15" s="30" t="str">
        <f t="shared" si="0"/>
        <v/>
      </c>
      <c r="C15" s="30" t="str">
        <f t="array" ref="C15:J15">IFERROR(INDEX(Table1[Other INDs], SMALL(IF($A15 =Table1[Invoice + Item], ROW(Table1[Other INDs]) - 3, ""), COLUMN() - 2)), "")</f>
        <v/>
      </c>
      <c r="D15" s="30" t="str">
        <v/>
      </c>
      <c r="E15" s="30" t="str">
        <v/>
      </c>
      <c r="F15" s="30" t="str">
        <v/>
      </c>
      <c r="G15" s="30" t="str">
        <v/>
      </c>
      <c r="H15" s="30" t="str">
        <v/>
      </c>
      <c r="I15" s="30" t="str">
        <v/>
      </c>
      <c r="J15" s="30" t="str">
        <v/>
      </c>
    </row>
    <row r="16" spans="1:10" x14ac:dyDescent="0.2">
      <c r="A16" s="29" t="str">
        <f>Table1[Invoice + Item]</f>
        <v>9562-1A</v>
      </c>
      <c r="B16" s="30" t="str">
        <f t="shared" si="0"/>
        <v/>
      </c>
      <c r="C16" s="30" t="str">
        <f t="array" ref="C16:J16">IFERROR(INDEX(Table1[Other INDs], SMALL(IF($A16 =Table1[Invoice + Item], ROW(Table1[Other INDs]) - 3, ""), COLUMN() - 2)), "")</f>
        <v/>
      </c>
      <c r="D16" s="30" t="str">
        <v/>
      </c>
      <c r="E16" s="30" t="str">
        <v/>
      </c>
      <c r="F16" s="30" t="str">
        <v/>
      </c>
      <c r="G16" s="30" t="str">
        <v/>
      </c>
      <c r="H16" s="30" t="str">
        <v/>
      </c>
      <c r="I16" s="30" t="str">
        <v/>
      </c>
      <c r="J16" s="30" t="str">
        <v/>
      </c>
    </row>
    <row r="17" spans="1:10" x14ac:dyDescent="0.2">
      <c r="A17" s="29" t="str">
        <f>Table1[Invoice + Item]</f>
        <v>9562-1A</v>
      </c>
      <c r="B17" s="30" t="str">
        <f t="shared" si="0"/>
        <v/>
      </c>
      <c r="C17" s="30" t="str">
        <f t="array" ref="C17:J17">IFERROR(INDEX(Table1[Other INDs], SMALL(IF($A17 =Table1[Invoice + Item], ROW(Table1[Other INDs]) - 3, ""), COLUMN() - 2)), "")</f>
        <v/>
      </c>
      <c r="D17" s="30" t="str">
        <v/>
      </c>
      <c r="E17" s="30" t="str">
        <v/>
      </c>
      <c r="F17" s="30" t="str">
        <v/>
      </c>
      <c r="G17" s="30" t="str">
        <v/>
      </c>
      <c r="H17" s="30" t="str">
        <v/>
      </c>
      <c r="I17" s="30" t="str">
        <v/>
      </c>
      <c r="J17" s="30" t="str">
        <v/>
      </c>
    </row>
    <row r="18" spans="1:10" x14ac:dyDescent="0.2">
      <c r="A18" s="29" t="str">
        <f>Table1[Invoice + Item]</f>
        <v>9562-1A</v>
      </c>
      <c r="B18" s="30" t="str">
        <f t="shared" si="0"/>
        <v/>
      </c>
      <c r="C18" s="30" t="str">
        <f t="array" ref="C18:J18">IFERROR(INDEX(Table1[Other INDs], SMALL(IF($A18 =Table1[Invoice + Item], ROW(Table1[Other INDs]) - 3, ""), COLUMN() - 2)), "")</f>
        <v/>
      </c>
      <c r="D18" s="30" t="str">
        <v/>
      </c>
      <c r="E18" s="30" t="str">
        <v/>
      </c>
      <c r="F18" s="30" t="str">
        <v/>
      </c>
      <c r="G18" s="30" t="str">
        <v/>
      </c>
      <c r="H18" s="30" t="str">
        <v/>
      </c>
      <c r="I18" s="30" t="str">
        <v/>
      </c>
      <c r="J18" s="30" t="str">
        <v/>
      </c>
    </row>
    <row r="19" spans="1:10" x14ac:dyDescent="0.2">
      <c r="A19" s="29" t="str">
        <f>Table1[Invoice + Item]</f>
        <v>9562-2A</v>
      </c>
      <c r="B19" s="30" t="str">
        <f t="shared" si="0"/>
        <v/>
      </c>
      <c r="C19" s="30" t="str">
        <f t="array" ref="C19:J19">IFERROR(INDEX(Table1[Other INDs], SMALL(IF($A19 =Table1[Invoice + Item], ROW(Table1[Other INDs]) - 3, ""), COLUMN() - 2)), "")</f>
        <v/>
      </c>
      <c r="D19" s="30" t="str">
        <v/>
      </c>
      <c r="E19" s="30" t="str">
        <v/>
      </c>
      <c r="F19" s="30" t="str">
        <v/>
      </c>
      <c r="G19" s="30" t="str">
        <v/>
      </c>
      <c r="H19" s="30" t="str">
        <v/>
      </c>
      <c r="I19" s="30" t="str">
        <v/>
      </c>
      <c r="J19" s="30" t="str">
        <v/>
      </c>
    </row>
    <row r="20" spans="1:10" x14ac:dyDescent="0.2">
      <c r="A20" s="29" t="str">
        <f>Table1[Invoice + Item]</f>
        <v>9562-2A</v>
      </c>
      <c r="B20" s="30" t="str">
        <f t="shared" si="0"/>
        <v/>
      </c>
      <c r="C20" s="30" t="str">
        <f t="array" ref="C20:J20">IFERROR(INDEX(Table1[Other INDs], SMALL(IF($A20 =Table1[Invoice + Item], ROW(Table1[Other INDs]) - 3, ""), COLUMN() - 2)), "")</f>
        <v/>
      </c>
      <c r="D20" s="30" t="str">
        <v/>
      </c>
      <c r="E20" s="30" t="str">
        <v/>
      </c>
      <c r="F20" s="30" t="str">
        <v/>
      </c>
      <c r="G20" s="30" t="str">
        <v/>
      </c>
      <c r="H20" s="30" t="str">
        <v/>
      </c>
      <c r="I20" s="30" t="str">
        <v/>
      </c>
      <c r="J20" s="30" t="str">
        <v/>
      </c>
    </row>
    <row r="21" spans="1:10" x14ac:dyDescent="0.2">
      <c r="A21" s="29" t="str">
        <f>Table1[Invoice + Item]</f>
        <v>9562-2A</v>
      </c>
      <c r="B21" s="30" t="str">
        <f t="shared" si="0"/>
        <v/>
      </c>
      <c r="C21" s="30" t="str">
        <f t="array" ref="C21:J21">IFERROR(INDEX(Table1[Other INDs], SMALL(IF($A21 =Table1[Invoice + Item], ROW(Table1[Other INDs]) - 3, ""), COLUMN() - 2)), "")</f>
        <v/>
      </c>
      <c r="D21" s="30" t="str">
        <v/>
      </c>
      <c r="E21" s="30" t="str">
        <v/>
      </c>
      <c r="F21" s="30" t="str">
        <v/>
      </c>
      <c r="G21" s="30" t="str">
        <v/>
      </c>
      <c r="H21" s="30" t="str">
        <v/>
      </c>
      <c r="I21" s="30" t="str">
        <v/>
      </c>
      <c r="J21" s="30" t="str">
        <v/>
      </c>
    </row>
    <row r="22" spans="1:10" x14ac:dyDescent="0.2">
      <c r="A22" s="29" t="str">
        <f>Table1[Invoice + Item]</f>
        <v>9562-2A</v>
      </c>
      <c r="B22" s="30" t="str">
        <f t="shared" si="0"/>
        <v/>
      </c>
      <c r="C22" s="30" t="str">
        <f t="array" ref="C22:J22">IFERROR(INDEX(Table1[Other INDs], SMALL(IF($A22 =Table1[Invoice + Item], ROW(Table1[Other INDs]) - 3, ""), COLUMN() - 2)), "")</f>
        <v/>
      </c>
      <c r="D22" s="30" t="str">
        <v/>
      </c>
      <c r="E22" s="30" t="str">
        <v/>
      </c>
      <c r="F22" s="30" t="str">
        <v/>
      </c>
      <c r="G22" s="30" t="str">
        <v/>
      </c>
      <c r="H22" s="30" t="str">
        <v/>
      </c>
      <c r="I22" s="30" t="str">
        <v/>
      </c>
      <c r="J22" s="30" t="str">
        <v/>
      </c>
    </row>
    <row r="23" spans="1:10" x14ac:dyDescent="0.2">
      <c r="A23" s="29" t="str">
        <f>Table1[Invoice + Item]</f>
        <v>8191-12</v>
      </c>
      <c r="B23" s="30" t="str">
        <f t="shared" si="0"/>
        <v/>
      </c>
      <c r="C23" s="30" t="str">
        <f t="array" ref="C23:J23">IFERROR(INDEX(Table1[Other INDs], SMALL(IF($A23 =Table1[Invoice + Item], ROW(Table1[Other INDs]) - 3, ""), COLUMN() - 2)), "")</f>
        <v/>
      </c>
      <c r="D23" s="30" t="str">
        <v/>
      </c>
      <c r="E23" s="30" t="str">
        <v/>
      </c>
      <c r="F23" s="30" t="str">
        <v/>
      </c>
      <c r="G23" s="30" t="str">
        <v/>
      </c>
      <c r="H23" s="30" t="str">
        <v/>
      </c>
      <c r="I23" s="30" t="str">
        <v/>
      </c>
      <c r="J23" s="30" t="str">
        <v/>
      </c>
    </row>
    <row r="24" spans="1:10" x14ac:dyDescent="0.2">
      <c r="A24" s="29" t="str">
        <f>Table1[Invoice + Item]</f>
        <v>9496-1</v>
      </c>
      <c r="B24" s="30" t="str">
        <f t="shared" si="0"/>
        <v/>
      </c>
      <c r="C24" s="30" t="str">
        <f t="array" ref="C24:J24">IFERROR(INDEX(Table1[Other INDs], SMALL(IF($A24 =Table1[Invoice + Item], ROW(Table1[Other INDs]) - 3, ""), COLUMN() - 2)), "")</f>
        <v/>
      </c>
      <c r="D24" s="30" t="str">
        <v/>
      </c>
      <c r="E24" s="30" t="str">
        <v/>
      </c>
      <c r="F24" s="30" t="str">
        <v/>
      </c>
      <c r="G24" s="30" t="str">
        <v/>
      </c>
      <c r="H24" s="30" t="str">
        <v/>
      </c>
      <c r="I24" s="30" t="str">
        <v/>
      </c>
      <c r="J24" s="30" t="str">
        <v/>
      </c>
    </row>
    <row r="25" spans="1:10" x14ac:dyDescent="0.2">
      <c r="A25" s="29" t="str">
        <f>Table1[Invoice + Item]</f>
        <v>9496-1</v>
      </c>
      <c r="B25" s="30" t="str">
        <f t="shared" si="0"/>
        <v/>
      </c>
      <c r="C25" s="30" t="str">
        <f t="array" ref="C25:J25">IFERROR(INDEX(Table1[Other INDs], SMALL(IF($A25 =Table1[Invoice + Item], ROW(Table1[Other INDs]) - 3, ""), COLUMN() - 2)), "")</f>
        <v/>
      </c>
      <c r="D25" s="30" t="str">
        <v/>
      </c>
      <c r="E25" s="30" t="str">
        <v/>
      </c>
      <c r="F25" s="30" t="str">
        <v/>
      </c>
      <c r="G25" s="30" t="str">
        <v/>
      </c>
      <c r="H25" s="30" t="str">
        <v/>
      </c>
      <c r="I25" s="30" t="str">
        <v/>
      </c>
      <c r="J25" s="30" t="str">
        <v/>
      </c>
    </row>
    <row r="26" spans="1:10" x14ac:dyDescent="0.2">
      <c r="A26" s="29" t="str">
        <f>Table1[Invoice + Item]</f>
        <v>0396-1</v>
      </c>
      <c r="B26" s="30" t="str">
        <f t="shared" si="0"/>
        <v/>
      </c>
      <c r="C26" s="30" t="str">
        <f t="array" ref="C26:J26">IFERROR(INDEX(Table1[Other INDs], SMALL(IF($A26 =Table1[Invoice + Item], ROW(Table1[Other INDs]) - 3, ""), COLUMN() - 2)), "")</f>
        <v/>
      </c>
      <c r="D26" s="30" t="str">
        <v/>
      </c>
      <c r="E26" s="30" t="str">
        <v/>
      </c>
      <c r="F26" s="30" t="str">
        <v/>
      </c>
      <c r="G26" s="30" t="str">
        <v/>
      </c>
      <c r="H26" s="30" t="str">
        <v/>
      </c>
      <c r="I26" s="30" t="str">
        <v/>
      </c>
      <c r="J26" s="30" t="str">
        <v/>
      </c>
    </row>
    <row r="27" spans="1:10" x14ac:dyDescent="0.2">
      <c r="A27" s="29" t="str">
        <f>Table1[Invoice + Item]</f>
        <v>7744-1</v>
      </c>
      <c r="B27" s="30" t="str">
        <f t="shared" si="0"/>
        <v/>
      </c>
      <c r="C27" s="30" t="str">
        <f t="array" ref="C27:J27">IFERROR(INDEX(Table1[Other INDs], SMALL(IF($A27 =Table1[Invoice + Item], ROW(Table1[Other INDs]) - 3, ""), COLUMN() - 2)), "")</f>
        <v/>
      </c>
      <c r="D27" s="30" t="str">
        <v/>
      </c>
      <c r="E27" s="30" t="str">
        <v/>
      </c>
      <c r="F27" s="30" t="str">
        <v/>
      </c>
      <c r="G27" s="30" t="str">
        <v/>
      </c>
      <c r="H27" s="30" t="str">
        <v/>
      </c>
      <c r="I27" s="30" t="str">
        <v/>
      </c>
      <c r="J27" s="30" t="str">
        <v/>
      </c>
    </row>
    <row r="28" spans="1:10" x14ac:dyDescent="0.2">
      <c r="A28" s="29" t="str">
        <f>Table1[Invoice + Item]</f>
        <v>7744-2</v>
      </c>
      <c r="B28" s="30" t="str">
        <f t="shared" si="0"/>
        <v/>
      </c>
      <c r="C28" s="30" t="str">
        <f t="array" ref="C28:J28">IFERROR(INDEX(Table1[Other INDs], SMALL(IF($A28 =Table1[Invoice + Item], ROW(Table1[Other INDs]) - 3, ""), COLUMN() - 2)), "")</f>
        <v/>
      </c>
      <c r="D28" s="30" t="str">
        <v/>
      </c>
      <c r="E28" s="30" t="str">
        <v/>
      </c>
      <c r="F28" s="30" t="str">
        <v/>
      </c>
      <c r="G28" s="30" t="str">
        <v/>
      </c>
      <c r="H28" s="30" t="str">
        <v/>
      </c>
      <c r="I28" s="30" t="str">
        <v/>
      </c>
      <c r="J28" s="30" t="str">
        <v/>
      </c>
    </row>
    <row r="29" spans="1:10" x14ac:dyDescent="0.2">
      <c r="A29" s="29" t="str">
        <f>Table1[Invoice + Item]</f>
        <v>9589-1A</v>
      </c>
      <c r="B29" s="30" t="str">
        <f t="shared" si="0"/>
        <v/>
      </c>
      <c r="C29" s="30" t="str">
        <f t="array" ref="C29:J29">IFERROR(INDEX(Table1[Other INDs], SMALL(IF($A29 =Table1[Invoice + Item], ROW(Table1[Other INDs]) - 3, ""), COLUMN() - 2)), "")</f>
        <v/>
      </c>
      <c r="D29" s="30" t="str">
        <v/>
      </c>
      <c r="E29" s="30" t="str">
        <v/>
      </c>
      <c r="F29" s="30" t="str">
        <v/>
      </c>
      <c r="G29" s="30" t="str">
        <v/>
      </c>
      <c r="H29" s="30" t="str">
        <v/>
      </c>
      <c r="I29" s="30" t="str">
        <v/>
      </c>
      <c r="J29" s="30" t="str">
        <v/>
      </c>
    </row>
    <row r="30" spans="1:10" x14ac:dyDescent="0.2">
      <c r="A30" s="29" t="str">
        <f>Table1[Invoice + Item]</f>
        <v>9589-1A</v>
      </c>
      <c r="B30" s="30" t="str">
        <f t="shared" si="0"/>
        <v/>
      </c>
      <c r="C30" s="30" t="str">
        <f t="array" ref="C30:J30">IFERROR(INDEX(Table1[Other INDs], SMALL(IF($A30 =Table1[Invoice + Item], ROW(Table1[Other INDs]) - 3, ""), COLUMN() - 2)), "")</f>
        <v/>
      </c>
      <c r="D30" s="30" t="str">
        <v/>
      </c>
      <c r="E30" s="30" t="str">
        <v/>
      </c>
      <c r="F30" s="30" t="str">
        <v/>
      </c>
      <c r="G30" s="30" t="str">
        <v/>
      </c>
      <c r="H30" s="30" t="str">
        <v/>
      </c>
      <c r="I30" s="30" t="str">
        <v/>
      </c>
      <c r="J30" s="30" t="str">
        <v/>
      </c>
    </row>
    <row r="31" spans="1:10" x14ac:dyDescent="0.2">
      <c r="A31" s="29" t="str">
        <f>Table1[Invoice + Item]</f>
        <v>8089-1</v>
      </c>
      <c r="B31" s="30" t="str">
        <f t="shared" si="0"/>
        <v/>
      </c>
      <c r="C31" s="30" t="str">
        <f t="array" ref="C31:J31">IFERROR(INDEX(Table1[Other INDs], SMALL(IF($A31 =Table1[Invoice + Item], ROW(Table1[Other INDs]) - 3, ""), COLUMN() - 2)), "")</f>
        <v/>
      </c>
      <c r="D31" s="30" t="str">
        <v/>
      </c>
      <c r="E31" s="30" t="str">
        <v/>
      </c>
      <c r="F31" s="30" t="str">
        <v/>
      </c>
      <c r="G31" s="30" t="str">
        <v/>
      </c>
      <c r="H31" s="30" t="str">
        <v/>
      </c>
      <c r="I31" s="30" t="str">
        <v/>
      </c>
      <c r="J31" s="30" t="str">
        <v/>
      </c>
    </row>
    <row r="32" spans="1:10" x14ac:dyDescent="0.2">
      <c r="A32" s="29" t="str">
        <f>Table1[Invoice + Item]</f>
        <v>8089-2</v>
      </c>
      <c r="B32" s="30" t="str">
        <f t="shared" si="0"/>
        <v/>
      </c>
      <c r="C32" s="30" t="str">
        <f t="array" ref="C32:J32">IFERROR(INDEX(Table1[Other INDs], SMALL(IF($A32 =Table1[Invoice + Item], ROW(Table1[Other INDs]) - 3, ""), COLUMN() - 2)), "")</f>
        <v/>
      </c>
      <c r="D32" s="30" t="str">
        <v/>
      </c>
      <c r="E32" s="30" t="str">
        <v/>
      </c>
      <c r="F32" s="30" t="str">
        <v/>
      </c>
      <c r="G32" s="30" t="str">
        <v/>
      </c>
      <c r="H32" s="30" t="str">
        <v/>
      </c>
      <c r="I32" s="30" t="str">
        <v/>
      </c>
      <c r="J32" s="30" t="str">
        <v/>
      </c>
    </row>
    <row r="33" spans="1:10" x14ac:dyDescent="0.2">
      <c r="A33" s="29" t="str">
        <f>Table1[Invoice + Item]</f>
        <v>8718-1</v>
      </c>
      <c r="B33" s="30" t="str">
        <f t="shared" si="0"/>
        <v/>
      </c>
      <c r="C33" s="30" t="str">
        <f t="array" ref="C33:J33">IFERROR(INDEX(Table1[Other INDs], SMALL(IF($A33 =Table1[Invoice + Item], ROW(Table1[Other INDs]) - 3, ""), COLUMN() - 2)), "")</f>
        <v/>
      </c>
      <c r="D33" s="30" t="str">
        <v/>
      </c>
      <c r="E33" s="30" t="str">
        <v/>
      </c>
      <c r="F33" s="30" t="str">
        <v/>
      </c>
      <c r="G33" s="30" t="str">
        <v/>
      </c>
      <c r="H33" s="30" t="str">
        <v/>
      </c>
      <c r="I33" s="30" t="str">
        <v/>
      </c>
      <c r="J33" s="30" t="str">
        <v/>
      </c>
    </row>
    <row r="34" spans="1:10" x14ac:dyDescent="0.2">
      <c r="A34" s="29" t="str">
        <f>Table1[Invoice + Item]</f>
        <v>8896-14</v>
      </c>
      <c r="B34" s="30" t="str">
        <f t="shared" si="0"/>
        <v/>
      </c>
      <c r="C34" s="30" t="str">
        <f t="array" ref="C34:J34">IFERROR(INDEX(Table1[Other INDs], SMALL(IF($A34 =Table1[Invoice + Item], ROW(Table1[Other INDs]) - 3, ""), COLUMN() - 2)), "")</f>
        <v/>
      </c>
      <c r="D34" s="30" t="str">
        <v/>
      </c>
      <c r="E34" s="30" t="str">
        <v/>
      </c>
      <c r="F34" s="30" t="str">
        <v/>
      </c>
      <c r="G34" s="30" t="str">
        <v/>
      </c>
      <c r="H34" s="30" t="str">
        <v/>
      </c>
      <c r="I34" s="30" t="str">
        <v/>
      </c>
      <c r="J34" s="30" t="str">
        <v/>
      </c>
    </row>
    <row r="35" spans="1:10" x14ac:dyDescent="0.2">
      <c r="A35" s="29" t="str">
        <f>Table1[Invoice + Item]</f>
        <v>8896-5A</v>
      </c>
      <c r="B35" s="30" t="str">
        <f t="shared" si="0"/>
        <v/>
      </c>
      <c r="C35" s="30" t="str">
        <f t="array" ref="C35:J35">IFERROR(INDEX(Table1[Other INDs], SMALL(IF($A35 =Table1[Invoice + Item], ROW(Table1[Other INDs]) - 3, ""), COLUMN() - 2)), "")</f>
        <v/>
      </c>
      <c r="D35" s="30" t="str">
        <v/>
      </c>
      <c r="E35" s="30" t="str">
        <v/>
      </c>
      <c r="F35" s="30" t="str">
        <v/>
      </c>
      <c r="G35" s="30" t="str">
        <v/>
      </c>
      <c r="H35" s="30" t="str">
        <v/>
      </c>
      <c r="I35" s="30" t="str">
        <v/>
      </c>
      <c r="J35" s="30" t="str">
        <v/>
      </c>
    </row>
    <row r="36" spans="1:10" x14ac:dyDescent="0.2">
      <c r="A36" s="29" t="str">
        <f>Table1[Invoice + Item]</f>
        <v>8896-7</v>
      </c>
      <c r="B36" s="30" t="str">
        <f t="shared" si="0"/>
        <v/>
      </c>
      <c r="C36" s="30" t="str">
        <f t="array" ref="C36:J36">IFERROR(INDEX(Table1[Other INDs], SMALL(IF($A36 =Table1[Invoice + Item], ROW(Table1[Other INDs]) - 3, ""), COLUMN() - 2)), "")</f>
        <v/>
      </c>
      <c r="D36" s="30" t="str">
        <v/>
      </c>
      <c r="E36" s="30" t="str">
        <v/>
      </c>
      <c r="F36" s="30" t="str">
        <v/>
      </c>
      <c r="G36" s="30" t="str">
        <v/>
      </c>
      <c r="H36" s="30" t="str">
        <v/>
      </c>
      <c r="I36" s="30" t="str">
        <v/>
      </c>
      <c r="J36" s="30" t="str">
        <v/>
      </c>
    </row>
    <row r="37" spans="1:10" x14ac:dyDescent="0.2">
      <c r="A37" s="29" t="str">
        <f>Table1[Invoice + Item]</f>
        <v>9893-1</v>
      </c>
      <c r="B37" s="30" t="str">
        <f t="shared" si="0"/>
        <v/>
      </c>
      <c r="C37" s="30" t="str">
        <f t="array" ref="C37:J37">IFERROR(INDEX(Table1[Other INDs], SMALL(IF($A37 =Table1[Invoice + Item], ROW(Table1[Other INDs]) - 3, ""), COLUMN() - 2)), "")</f>
        <v/>
      </c>
      <c r="D37" s="30" t="str">
        <v/>
      </c>
      <c r="E37" s="30" t="str">
        <v/>
      </c>
      <c r="F37" s="30" t="str">
        <v/>
      </c>
      <c r="G37" s="30" t="str">
        <v/>
      </c>
      <c r="H37" s="30" t="str">
        <v/>
      </c>
      <c r="I37" s="30" t="str">
        <v/>
      </c>
      <c r="J37" s="30" t="str">
        <v/>
      </c>
    </row>
    <row r="38" spans="1:10" x14ac:dyDescent="0.2">
      <c r="A38" s="29" t="str">
        <f>Table1[Invoice + Item]</f>
        <v>9893-1</v>
      </c>
      <c r="B38" s="30" t="str">
        <f t="shared" si="0"/>
        <v/>
      </c>
      <c r="C38" s="30" t="str">
        <f t="array" ref="C38:J38">IFERROR(INDEX(Table1[Other INDs], SMALL(IF($A38 =Table1[Invoice + Item], ROW(Table1[Other INDs]) - 3, ""), COLUMN() - 2)), "")</f>
        <v/>
      </c>
      <c r="D38" s="30" t="str">
        <v/>
      </c>
      <c r="E38" s="30" t="str">
        <v/>
      </c>
      <c r="F38" s="30" t="str">
        <v/>
      </c>
      <c r="G38" s="30" t="str">
        <v/>
      </c>
      <c r="H38" s="30" t="str">
        <v/>
      </c>
      <c r="I38" s="30" t="str">
        <v/>
      </c>
      <c r="J38" s="30" t="str">
        <v/>
      </c>
    </row>
    <row r="39" spans="1:10" x14ac:dyDescent="0.2">
      <c r="A39" s="29" t="str">
        <f>Table1[Invoice + Item]</f>
        <v>0303-1</v>
      </c>
      <c r="B39" s="30" t="str">
        <f t="shared" si="0"/>
        <v/>
      </c>
      <c r="C39" s="30" t="str">
        <f t="array" ref="C39:J39">IFERROR(INDEX(Table1[Other INDs], SMALL(IF($A39 =Table1[Invoice + Item], ROW(Table1[Other INDs]) - 3, ""), COLUMN() - 2)), "")</f>
        <v/>
      </c>
      <c r="D39" s="30" t="str">
        <v/>
      </c>
      <c r="E39" s="30" t="str">
        <v/>
      </c>
      <c r="F39" s="30" t="str">
        <v/>
      </c>
      <c r="G39" s="30" t="str">
        <v/>
      </c>
      <c r="H39" s="30" t="str">
        <v/>
      </c>
      <c r="I39" s="30" t="str">
        <v/>
      </c>
      <c r="J39" s="30" t="str">
        <v/>
      </c>
    </row>
    <row r="40" spans="1:10" x14ac:dyDescent="0.2">
      <c r="A40" s="29" t="str">
        <f>Table1[Invoice + Item]</f>
        <v>0303-2A</v>
      </c>
      <c r="B40" s="30" t="str">
        <f t="shared" si="0"/>
        <v/>
      </c>
      <c r="C40" s="30" t="str">
        <f t="array" ref="C40:J40">IFERROR(INDEX(Table1[Other INDs], SMALL(IF($A40 =Table1[Invoice + Item], ROW(Table1[Other INDs]) - 3, ""), COLUMN() - 2)), "")</f>
        <v/>
      </c>
      <c r="D40" s="30" t="str">
        <v/>
      </c>
      <c r="E40" s="30" t="str">
        <v/>
      </c>
      <c r="F40" s="30" t="str">
        <v/>
      </c>
      <c r="G40" s="30" t="str">
        <v/>
      </c>
      <c r="H40" s="30" t="str">
        <v/>
      </c>
      <c r="I40" s="30" t="str">
        <v/>
      </c>
      <c r="J40" s="30" t="str">
        <v/>
      </c>
    </row>
    <row r="41" spans="1:10" x14ac:dyDescent="0.2">
      <c r="A41" s="29" t="str">
        <f>Table1[Invoice + Item]</f>
        <v>0303-2A</v>
      </c>
      <c r="B41" s="30" t="str">
        <f t="shared" si="0"/>
        <v/>
      </c>
      <c r="C41" s="30" t="str">
        <f t="array" ref="C41:J41">IFERROR(INDEX(Table1[Other INDs], SMALL(IF($A41 =Table1[Invoice + Item], ROW(Table1[Other INDs]) - 3, ""), COLUMN() - 2)), "")</f>
        <v/>
      </c>
      <c r="D41" s="30" t="str">
        <v/>
      </c>
      <c r="E41" s="30" t="str">
        <v/>
      </c>
      <c r="F41" s="30" t="str">
        <v/>
      </c>
      <c r="G41" s="30" t="str">
        <v/>
      </c>
      <c r="H41" s="30" t="str">
        <v/>
      </c>
      <c r="I41" s="30" t="str">
        <v/>
      </c>
      <c r="J41" s="30" t="str">
        <v/>
      </c>
    </row>
    <row r="42" spans="1:10" x14ac:dyDescent="0.2">
      <c r="A42" s="29" t="str">
        <f>Table1[Invoice + Item]</f>
        <v>0303-2B</v>
      </c>
      <c r="B42" s="30" t="str">
        <f t="shared" si="0"/>
        <v/>
      </c>
      <c r="C42" s="30" t="str">
        <f t="array" ref="C42:J42">IFERROR(INDEX(Table1[Other INDs], SMALL(IF($A42 =Table1[Invoice + Item], ROW(Table1[Other INDs]) - 3, ""), COLUMN() - 2)), "")</f>
        <v/>
      </c>
      <c r="D42" s="30" t="str">
        <v/>
      </c>
      <c r="E42" s="30" t="str">
        <v/>
      </c>
      <c r="F42" s="30" t="str">
        <v/>
      </c>
      <c r="G42" s="30" t="str">
        <v/>
      </c>
      <c r="H42" s="30" t="str">
        <v/>
      </c>
      <c r="I42" s="30" t="str">
        <v/>
      </c>
      <c r="J42" s="30" t="str">
        <v/>
      </c>
    </row>
    <row r="43" spans="1:10" x14ac:dyDescent="0.2">
      <c r="A43" s="29" t="str">
        <f>Table1[Invoice + Item]</f>
        <v>0303-2B</v>
      </c>
      <c r="B43" s="30" t="str">
        <f t="shared" si="0"/>
        <v/>
      </c>
      <c r="C43" s="30" t="str">
        <f t="array" ref="C43:J43">IFERROR(INDEX(Table1[Other INDs], SMALL(IF($A43 =Table1[Invoice + Item], ROW(Table1[Other INDs]) - 3, ""), COLUMN() - 2)), "")</f>
        <v/>
      </c>
      <c r="D43" s="30" t="str">
        <v/>
      </c>
      <c r="E43" s="30" t="str">
        <v/>
      </c>
      <c r="F43" s="30" t="str">
        <v/>
      </c>
      <c r="G43" s="30" t="str">
        <v/>
      </c>
      <c r="H43" s="30" t="str">
        <v/>
      </c>
      <c r="I43" s="30" t="str">
        <v/>
      </c>
      <c r="J43" s="30" t="str">
        <v/>
      </c>
    </row>
    <row r="44" spans="1:10" x14ac:dyDescent="0.2">
      <c r="A44" s="29" t="str">
        <f>Table1[Invoice + Item]</f>
        <v>0303-2B</v>
      </c>
      <c r="B44" s="30" t="str">
        <f t="shared" si="0"/>
        <v/>
      </c>
      <c r="C44" s="30" t="str">
        <f t="array" ref="C44:J44">IFERROR(INDEX(Table1[Other INDs], SMALL(IF($A44 =Table1[Invoice + Item], ROW(Table1[Other INDs]) - 3, ""), COLUMN() - 2)), "")</f>
        <v/>
      </c>
      <c r="D44" s="30" t="str">
        <v/>
      </c>
      <c r="E44" s="30" t="str">
        <v/>
      </c>
      <c r="F44" s="30" t="str">
        <v/>
      </c>
      <c r="G44" s="30" t="str">
        <v/>
      </c>
      <c r="H44" s="30" t="str">
        <v/>
      </c>
      <c r="I44" s="30" t="str">
        <v/>
      </c>
      <c r="J44" s="30" t="str">
        <v/>
      </c>
    </row>
    <row r="45" spans="1:10" x14ac:dyDescent="0.2">
      <c r="A45" s="29" t="str">
        <f>Table1[Invoice + Item]</f>
        <v>0303-2B</v>
      </c>
      <c r="B45" s="30" t="str">
        <f t="shared" si="0"/>
        <v/>
      </c>
      <c r="C45" s="30" t="str">
        <f t="array" ref="C45:J45">IFERROR(INDEX(Table1[Other INDs], SMALL(IF($A45 =Table1[Invoice + Item], ROW(Table1[Other INDs]) - 3, ""), COLUMN() - 2)), "")</f>
        <v/>
      </c>
      <c r="D45" s="30" t="str">
        <v/>
      </c>
      <c r="E45" s="30" t="str">
        <v/>
      </c>
      <c r="F45" s="30" t="str">
        <v/>
      </c>
      <c r="G45" s="30" t="str">
        <v/>
      </c>
      <c r="H45" s="30" t="str">
        <v/>
      </c>
      <c r="I45" s="30" t="str">
        <v/>
      </c>
      <c r="J45" s="30" t="str">
        <v/>
      </c>
    </row>
  </sheetData>
  <conditionalFormatting sqref="A3">
    <cfRule type="duplicateValues" dxfId="20" priority="4" stopIfTrue="1"/>
  </conditionalFormatting>
  <conditionalFormatting sqref="A4:A45">
    <cfRule type="duplicateValues" dxfId="19" priority="21" stopIfTrue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topLeftCell="A25" workbookViewId="0">
      <selection activeCell="A46" sqref="A46:J621"/>
    </sheetView>
  </sheetViews>
  <sheetFormatPr defaultRowHeight="12.75" x14ac:dyDescent="0.2"/>
  <cols>
    <col min="1" max="1" width="28.42578125" bestFit="1" customWidth="1"/>
    <col min="2" max="2" width="39.7109375" bestFit="1" customWidth="1"/>
    <col min="3" max="3" width="14" bestFit="1" customWidth="1"/>
    <col min="4" max="4" width="11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" t="s">
        <v>43</v>
      </c>
      <c r="B3" s="5" t="s">
        <v>65</v>
      </c>
      <c r="C3" s="4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</row>
    <row r="4" spans="1:10" x14ac:dyDescent="0.2">
      <c r="A4" s="13" t="str">
        <f>Table1[Invoice + Item]</f>
        <v>0277-1</v>
      </c>
      <c r="B4" t="str">
        <f t="shared" ref="B4:B45" si="0">MyConcat(C4:J4)</f>
        <v/>
      </c>
      <c r="C4" t="str">
        <f t="array" ref="C4:J4">IFERROR(INDEX(Table1[Diluants], SMALL(IF($A4=Table1[Invoice + Item], ROW(Table1[Diluants]) - 3, ""), COLUMN() - 2)), "")</f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</row>
    <row r="5" spans="1:10" x14ac:dyDescent="0.2">
      <c r="A5" s="13" t="str">
        <f>Table1[Invoice + Item]</f>
        <v>8197-4A</v>
      </c>
      <c r="B5" t="str">
        <f t="shared" si="0"/>
        <v>Diltiazem</v>
      </c>
      <c r="C5" t="str">
        <f t="array" ref="C5:J5">IFERROR(INDEX(Table1[Diluants], SMALL(IF($A5=Table1[Invoice + Item], ROW(Table1[Diluants]) - 3, ""), COLUMN() - 2)), "")</f>
        <v/>
      </c>
      <c r="D5" t="str">
        <v>Diltiazem</v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</row>
    <row r="6" spans="1:10" x14ac:dyDescent="0.2">
      <c r="A6" s="13" t="str">
        <f>Table1[Invoice + Item]</f>
        <v>8197-4A</v>
      </c>
      <c r="B6" t="str">
        <f t="shared" si="0"/>
        <v>Diltiazem</v>
      </c>
      <c r="C6" t="str">
        <f t="array" ref="C6:J6">IFERROR(INDEX(Table1[Diluants], SMALL(IF($A6=Table1[Invoice + Item], ROW(Table1[Diluants]) - 3, ""), COLUMN() - 2)), "")</f>
        <v/>
      </c>
      <c r="D6" t="str">
        <v>Diltiazem</v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</row>
    <row r="7" spans="1:10" x14ac:dyDescent="0.2">
      <c r="A7" s="13" t="str">
        <f>Table1[Invoice + Item]</f>
        <v>8197-4B</v>
      </c>
      <c r="B7" t="str">
        <f t="shared" si="0"/>
        <v>Caffeine,Quinine</v>
      </c>
      <c r="C7" t="str">
        <f t="array" ref="C7:J7">IFERROR(INDEX(Table1[Diluants], SMALL(IF($A7=Table1[Invoice + Item], ROW(Table1[Diluants]) - 3, ""), COLUMN() - 2)), "")</f>
        <v>Caffeine</v>
      </c>
      <c r="D7" t="str">
        <v>Quinine</v>
      </c>
      <c r="E7" t="str">
        <v/>
      </c>
      <c r="F7" t="str">
        <v/>
      </c>
      <c r="G7" t="str">
        <v/>
      </c>
      <c r="H7" t="str">
        <v/>
      </c>
      <c r="I7" t="str">
        <v/>
      </c>
      <c r="J7" t="str">
        <v/>
      </c>
    </row>
    <row r="8" spans="1:10" x14ac:dyDescent="0.2">
      <c r="A8" s="13" t="str">
        <f>Table1[Invoice + Item]</f>
        <v>8197-4B</v>
      </c>
      <c r="B8" t="str">
        <f t="shared" si="0"/>
        <v>Caffeine,Quinine</v>
      </c>
      <c r="C8" t="str">
        <f t="array" ref="C8:J8">IFERROR(INDEX(Table1[Diluants], SMALL(IF($A8=Table1[Invoice + Item], ROW(Table1[Diluants]) - 3, ""), COLUMN() - 2)), "")</f>
        <v>Caffeine</v>
      </c>
      <c r="D8" t="str">
        <v>Quinine</v>
      </c>
      <c r="E8" t="str">
        <v/>
      </c>
      <c r="F8" t="str">
        <v/>
      </c>
      <c r="G8" t="str">
        <v/>
      </c>
      <c r="H8" t="str">
        <v/>
      </c>
      <c r="I8" t="str">
        <v/>
      </c>
      <c r="J8" t="str">
        <v/>
      </c>
    </row>
    <row r="9" spans="1:10" x14ac:dyDescent="0.2">
      <c r="A9" s="13" t="str">
        <f>Table1[Invoice + Item]</f>
        <v>8197-4B</v>
      </c>
      <c r="B9" t="str">
        <f t="shared" si="0"/>
        <v>Caffeine,Quinine</v>
      </c>
      <c r="C9" t="str">
        <f t="array" ref="C9:J9">IFERROR(INDEX(Table1[Diluants], SMALL(IF($A9=Table1[Invoice + Item], ROW(Table1[Diluants]) - 3, ""), COLUMN() - 2)), "")</f>
        <v>Caffeine</v>
      </c>
      <c r="D9" t="str">
        <v>Quinine</v>
      </c>
      <c r="E9" t="str">
        <v/>
      </c>
      <c r="F9" t="str">
        <v/>
      </c>
      <c r="G9" t="str">
        <v/>
      </c>
      <c r="H9" t="str">
        <v/>
      </c>
      <c r="I9" t="str">
        <v/>
      </c>
      <c r="J9" t="str">
        <v/>
      </c>
    </row>
    <row r="10" spans="1:10" x14ac:dyDescent="0.2">
      <c r="A10" s="13" t="str">
        <f>Table1[Invoice + Item]</f>
        <v>8197-4B</v>
      </c>
      <c r="B10" t="str">
        <f t="shared" si="0"/>
        <v>Caffeine,Quinine</v>
      </c>
      <c r="C10" t="str">
        <f t="array" ref="C10:J10">IFERROR(INDEX(Table1[Diluants], SMALL(IF($A10=Table1[Invoice + Item], ROW(Table1[Diluants]) - 3, ""), COLUMN() - 2)), "")</f>
        <v>Caffeine</v>
      </c>
      <c r="D10" t="str">
        <v>Quinine</v>
      </c>
      <c r="E10" t="str">
        <v/>
      </c>
      <c r="F10" t="str">
        <v/>
      </c>
      <c r="G10" t="str">
        <v/>
      </c>
      <c r="H10" t="str">
        <v/>
      </c>
      <c r="I10" t="str">
        <v/>
      </c>
      <c r="J10" t="str">
        <v/>
      </c>
    </row>
    <row r="11" spans="1:10" x14ac:dyDescent="0.2">
      <c r="A11" s="13" t="str">
        <f>Table1[Invoice + Item]</f>
        <v>8199-1</v>
      </c>
      <c r="B11" t="str">
        <f t="shared" si="0"/>
        <v>Caffeine</v>
      </c>
      <c r="C11" t="str">
        <f t="array" ref="C11:J11">IFERROR(INDEX(Table1[Diluants], SMALL(IF($A11=Table1[Invoice + Item], ROW(Table1[Diluants]) - 3, ""), COLUMN() - 2)), "")</f>
        <v/>
      </c>
      <c r="D11" t="str">
        <v>Caffeine</v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</row>
    <row r="12" spans="1:10" x14ac:dyDescent="0.2">
      <c r="A12" s="13" t="str">
        <f>Table1[Invoice + Item]</f>
        <v>8199-1</v>
      </c>
      <c r="B12" t="str">
        <f t="shared" si="0"/>
        <v>Caffeine</v>
      </c>
      <c r="C12" t="str">
        <f t="array" ref="C12:J12">IFERROR(INDEX(Table1[Diluants], SMALL(IF($A12=Table1[Invoice + Item], ROW(Table1[Diluants]) - 3, ""), COLUMN() - 2)), "")</f>
        <v/>
      </c>
      <c r="D12" t="str">
        <v>Caffeine</v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</row>
    <row r="13" spans="1:10" x14ac:dyDescent="0.2">
      <c r="A13" s="13" t="str">
        <f>Table1[Invoice + Item]</f>
        <v>8199-3A</v>
      </c>
      <c r="B13" t="str">
        <f t="shared" si="0"/>
        <v>Caffeine</v>
      </c>
      <c r="C13" t="str">
        <f t="array" ref="C13:J13">IFERROR(INDEX(Table1[Diluants], SMALL(IF($A13=Table1[Invoice + Item], ROW(Table1[Diluants]) - 3, ""), COLUMN() - 2)), "")</f>
        <v/>
      </c>
      <c r="D13" t="str">
        <v>Caffeine</v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</row>
    <row r="14" spans="1:10" x14ac:dyDescent="0.2">
      <c r="A14" s="13" t="str">
        <f>Table1[Invoice + Item]</f>
        <v>8199-3A</v>
      </c>
      <c r="B14" t="str">
        <f t="shared" si="0"/>
        <v>Caffeine</v>
      </c>
      <c r="C14" t="str">
        <f t="array" ref="C14:J14">IFERROR(INDEX(Table1[Diluants], SMALL(IF($A14=Table1[Invoice + Item], ROW(Table1[Diluants]) - 3, ""), COLUMN() - 2)), "")</f>
        <v/>
      </c>
      <c r="D14" t="str">
        <v>Caffeine</v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</row>
    <row r="15" spans="1:10" x14ac:dyDescent="0.2">
      <c r="A15" s="13" t="str">
        <f>Table1[Invoice + Item]</f>
        <v>9562-1A</v>
      </c>
      <c r="B15" t="str">
        <f t="shared" si="0"/>
        <v>Caffeine,Papaverine,Procaine,Noscapine</v>
      </c>
      <c r="C15" t="str">
        <f t="array" ref="C15:J15">IFERROR(INDEX(Table1[Diluants], SMALL(IF($A15=Table1[Invoice + Item], ROW(Table1[Diluants]) - 3, ""), COLUMN() - 2)), "")</f>
        <v>Caffeine</v>
      </c>
      <c r="D15" t="str">
        <v>Papaverine</v>
      </c>
      <c r="E15" t="str">
        <v>Procaine</v>
      </c>
      <c r="F15" t="str">
        <v>Noscapine</v>
      </c>
      <c r="G15" t="str">
        <v/>
      </c>
      <c r="H15" t="str">
        <v/>
      </c>
      <c r="I15" t="str">
        <v/>
      </c>
      <c r="J15" t="str">
        <v/>
      </c>
    </row>
    <row r="16" spans="1:10" x14ac:dyDescent="0.2">
      <c r="A16" s="13" t="str">
        <f>Table1[Invoice + Item]</f>
        <v>9562-1A</v>
      </c>
      <c r="B16" t="str">
        <f t="shared" si="0"/>
        <v>Caffeine,Papaverine,Procaine,Noscapine</v>
      </c>
      <c r="C16" t="str">
        <f t="array" ref="C16:J16">IFERROR(INDEX(Table1[Diluants], SMALL(IF($A16=Table1[Invoice + Item], ROW(Table1[Diluants]) - 3, ""), COLUMN() - 2)), "")</f>
        <v>Caffeine</v>
      </c>
      <c r="D16" t="str">
        <v>Papaverine</v>
      </c>
      <c r="E16" t="str">
        <v>Procaine</v>
      </c>
      <c r="F16" t="str">
        <v>Noscapine</v>
      </c>
      <c r="G16" t="str">
        <v/>
      </c>
      <c r="H16" t="str">
        <v/>
      </c>
      <c r="I16" t="str">
        <v/>
      </c>
      <c r="J16" t="str">
        <v/>
      </c>
    </row>
    <row r="17" spans="1:10" x14ac:dyDescent="0.2">
      <c r="A17" s="13" t="str">
        <f>Table1[Invoice + Item]</f>
        <v>9562-1A</v>
      </c>
      <c r="B17" t="str">
        <f t="shared" si="0"/>
        <v>Caffeine,Papaverine,Procaine,Noscapine</v>
      </c>
      <c r="C17" t="str">
        <f t="array" ref="C17:J17">IFERROR(INDEX(Table1[Diluants], SMALL(IF($A17=Table1[Invoice + Item], ROW(Table1[Diluants]) - 3, ""), COLUMN() - 2)), "")</f>
        <v>Caffeine</v>
      </c>
      <c r="D17" t="str">
        <v>Papaverine</v>
      </c>
      <c r="E17" t="str">
        <v>Procaine</v>
      </c>
      <c r="F17" t="str">
        <v>Noscapine</v>
      </c>
      <c r="G17" t="str">
        <v/>
      </c>
      <c r="H17" t="str">
        <v/>
      </c>
      <c r="I17" t="str">
        <v/>
      </c>
      <c r="J17" t="str">
        <v/>
      </c>
    </row>
    <row r="18" spans="1:10" x14ac:dyDescent="0.2">
      <c r="A18" s="13" t="str">
        <f>Table1[Invoice + Item]</f>
        <v>9562-1A</v>
      </c>
      <c r="B18" t="str">
        <f t="shared" si="0"/>
        <v>Caffeine,Papaverine,Procaine,Noscapine</v>
      </c>
      <c r="C18" t="str">
        <f t="array" ref="C18:J18">IFERROR(INDEX(Table1[Diluants], SMALL(IF($A18=Table1[Invoice + Item], ROW(Table1[Diluants]) - 3, ""), COLUMN() - 2)), "")</f>
        <v>Caffeine</v>
      </c>
      <c r="D18" t="str">
        <v>Papaverine</v>
      </c>
      <c r="E18" t="str">
        <v>Procaine</v>
      </c>
      <c r="F18" t="str">
        <v>Noscapine</v>
      </c>
      <c r="G18" t="str">
        <v/>
      </c>
      <c r="H18" t="str">
        <v/>
      </c>
      <c r="I18" t="str">
        <v/>
      </c>
      <c r="J18" t="str">
        <v/>
      </c>
    </row>
    <row r="19" spans="1:10" x14ac:dyDescent="0.2">
      <c r="A19" s="13" t="str">
        <f>Table1[Invoice + Item]</f>
        <v>9562-2A</v>
      </c>
      <c r="B19" t="str">
        <f t="shared" si="0"/>
        <v>Caffeine,Papaverine,Procaine,Noscapine</v>
      </c>
      <c r="C19" t="str">
        <f t="array" ref="C19:J19">IFERROR(INDEX(Table1[Diluants], SMALL(IF($A19=Table1[Invoice + Item], ROW(Table1[Diluants]) - 3, ""), COLUMN() - 2)), "")</f>
        <v>Caffeine</v>
      </c>
      <c r="D19" t="str">
        <v>Papaverine</v>
      </c>
      <c r="E19" t="str">
        <v>Procaine</v>
      </c>
      <c r="F19" t="str">
        <v>Noscapine</v>
      </c>
      <c r="G19" t="str">
        <v/>
      </c>
      <c r="H19" t="str">
        <v/>
      </c>
      <c r="I19" t="str">
        <v/>
      </c>
      <c r="J19" t="str">
        <v/>
      </c>
    </row>
    <row r="20" spans="1:10" x14ac:dyDescent="0.2">
      <c r="A20" s="13" t="str">
        <f>Table1[Invoice + Item]</f>
        <v>9562-2A</v>
      </c>
      <c r="B20" t="str">
        <f t="shared" si="0"/>
        <v>Caffeine,Papaverine,Procaine,Noscapine</v>
      </c>
      <c r="C20" t="str">
        <f t="array" ref="C20:J20">IFERROR(INDEX(Table1[Diluants], SMALL(IF($A20=Table1[Invoice + Item], ROW(Table1[Diluants]) - 3, ""), COLUMN() - 2)), "")</f>
        <v>Caffeine</v>
      </c>
      <c r="D20" t="str">
        <v>Papaverine</v>
      </c>
      <c r="E20" t="str">
        <v>Procaine</v>
      </c>
      <c r="F20" t="str">
        <v>Noscapine</v>
      </c>
      <c r="G20" t="str">
        <v/>
      </c>
      <c r="H20" t="str">
        <v/>
      </c>
      <c r="I20" t="str">
        <v/>
      </c>
      <c r="J20" t="str">
        <v/>
      </c>
    </row>
    <row r="21" spans="1:10" x14ac:dyDescent="0.2">
      <c r="A21" s="13" t="str">
        <f>Table1[Invoice + Item]</f>
        <v>9562-2A</v>
      </c>
      <c r="B21" t="str">
        <f t="shared" si="0"/>
        <v>Caffeine,Papaverine,Procaine,Noscapine</v>
      </c>
      <c r="C21" t="str">
        <f t="array" ref="C21:J21">IFERROR(INDEX(Table1[Diluants], SMALL(IF($A21=Table1[Invoice + Item], ROW(Table1[Diluants]) - 3, ""), COLUMN() - 2)), "")</f>
        <v>Caffeine</v>
      </c>
      <c r="D21" t="str">
        <v>Papaverine</v>
      </c>
      <c r="E21" t="str">
        <v>Procaine</v>
      </c>
      <c r="F21" t="str">
        <v>Noscapine</v>
      </c>
      <c r="G21" t="str">
        <v/>
      </c>
      <c r="H21" t="str">
        <v/>
      </c>
      <c r="I21" t="str">
        <v/>
      </c>
      <c r="J21" t="str">
        <v/>
      </c>
    </row>
    <row r="22" spans="1:10" x14ac:dyDescent="0.2">
      <c r="A22" s="13" t="str">
        <f>Table1[Invoice + Item]</f>
        <v>9562-2A</v>
      </c>
      <c r="B22" t="str">
        <f t="shared" si="0"/>
        <v>Caffeine,Papaverine,Procaine,Noscapine</v>
      </c>
      <c r="C22" t="str">
        <f t="array" ref="C22:J22">IFERROR(INDEX(Table1[Diluants], SMALL(IF($A22=Table1[Invoice + Item], ROW(Table1[Diluants]) - 3, ""), COLUMN() - 2)), "")</f>
        <v>Caffeine</v>
      </c>
      <c r="D22" t="str">
        <v>Papaverine</v>
      </c>
      <c r="E22" t="str">
        <v>Procaine</v>
      </c>
      <c r="F22" t="str">
        <v>Noscapine</v>
      </c>
      <c r="G22" t="str">
        <v/>
      </c>
      <c r="H22" t="str">
        <v/>
      </c>
      <c r="I22" t="str">
        <v/>
      </c>
      <c r="J22" t="str">
        <v/>
      </c>
    </row>
    <row r="23" spans="1:10" x14ac:dyDescent="0.2">
      <c r="A23" s="13" t="str">
        <f>Table1[Invoice + Item]</f>
        <v>8191-12</v>
      </c>
      <c r="B23" t="str">
        <f t="shared" si="0"/>
        <v/>
      </c>
      <c r="C23" t="str">
        <f t="array" ref="C23:J23">IFERROR(INDEX(Table1[Diluants], SMALL(IF($A23=Table1[Invoice + Item], ROW(Table1[Diluants]) - 3, ""), COLUMN() - 2)), "")</f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</row>
    <row r="24" spans="1:10" x14ac:dyDescent="0.2">
      <c r="A24" s="13" t="str">
        <f>Table1[Invoice + Item]</f>
        <v>9496-1</v>
      </c>
      <c r="B24" t="str">
        <f t="shared" si="0"/>
        <v/>
      </c>
      <c r="C24" t="str">
        <f t="array" ref="C24:J24">IFERROR(INDEX(Table1[Diluants], SMALL(IF($A24=Table1[Invoice + Item], ROW(Table1[Diluants]) - 3, ""), COLUMN() - 2)), "")</f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</row>
    <row r="25" spans="1:10" x14ac:dyDescent="0.2">
      <c r="A25" s="13" t="str">
        <f>Table1[Invoice + Item]</f>
        <v>9496-1</v>
      </c>
      <c r="B25" t="str">
        <f t="shared" si="0"/>
        <v/>
      </c>
      <c r="C25" t="str">
        <f t="array" ref="C25:J25">IFERROR(INDEX(Table1[Diluants], SMALL(IF($A25=Table1[Invoice + Item], ROW(Table1[Diluants]) - 3, ""), COLUMN() - 2)), "")</f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</row>
    <row r="26" spans="1:10" x14ac:dyDescent="0.2">
      <c r="A26" s="13" t="str">
        <f>Table1[Invoice + Item]</f>
        <v>0396-1</v>
      </c>
      <c r="B26" t="str">
        <f t="shared" si="0"/>
        <v/>
      </c>
      <c r="C26" t="str">
        <f t="array" ref="C26:J26">IFERROR(INDEX(Table1[Diluants], SMALL(IF($A26=Table1[Invoice + Item], ROW(Table1[Diluants]) - 3, ""), COLUMN() - 2)), "")</f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</row>
    <row r="27" spans="1:10" x14ac:dyDescent="0.2">
      <c r="A27" s="13" t="str">
        <f>Table1[Invoice + Item]</f>
        <v>7744-1</v>
      </c>
      <c r="B27" t="str">
        <f t="shared" si="0"/>
        <v>Acetaminophen</v>
      </c>
      <c r="C27" t="str">
        <f t="array" ref="C27:J27">IFERROR(INDEX(Table1[Diluants], SMALL(IF($A27=Table1[Invoice + Item], ROW(Table1[Diluants]) - 3, ""), COLUMN() - 2)), "")</f>
        <v>Acetaminophen</v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</row>
    <row r="28" spans="1:10" x14ac:dyDescent="0.2">
      <c r="A28" s="13" t="str">
        <f>Table1[Invoice + Item]</f>
        <v>7744-2</v>
      </c>
      <c r="B28" t="str">
        <f t="shared" si="0"/>
        <v>Acetaminophen</v>
      </c>
      <c r="C28" t="str">
        <f t="array" ref="C28:J28">IFERROR(INDEX(Table1[Diluants], SMALL(IF($A28=Table1[Invoice + Item], ROW(Table1[Diluants]) - 3, ""), COLUMN() - 2)), "")</f>
        <v>Acetaminophen</v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</row>
    <row r="29" spans="1:10" x14ac:dyDescent="0.2">
      <c r="A29" s="13" t="str">
        <f>Table1[Invoice + Item]</f>
        <v>9589-1A</v>
      </c>
      <c r="B29" t="str">
        <f t="shared" si="0"/>
        <v>Lidocaine,Tetramisole</v>
      </c>
      <c r="C29" t="str">
        <f t="array" ref="C29:J29">IFERROR(INDEX(Table1[Diluants], SMALL(IF($A29=Table1[Invoice + Item], ROW(Table1[Diluants]) - 3, ""), COLUMN() - 2)), "")</f>
        <v>Lidocaine</v>
      </c>
      <c r="D29" t="str">
        <v>Tetramisole</v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</row>
    <row r="30" spans="1:10" x14ac:dyDescent="0.2">
      <c r="A30" s="13" t="str">
        <f>Table1[Invoice + Item]</f>
        <v>9589-1A</v>
      </c>
      <c r="B30" t="str">
        <f t="shared" si="0"/>
        <v>Lidocaine,Tetramisole</v>
      </c>
      <c r="C30" t="str">
        <f t="array" ref="C30:J30">IFERROR(INDEX(Table1[Diluants], SMALL(IF($A30=Table1[Invoice + Item], ROW(Table1[Diluants]) - 3, ""), COLUMN() - 2)), "")</f>
        <v>Lidocaine</v>
      </c>
      <c r="D30" t="str">
        <v>Tetramisole</v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</row>
    <row r="31" spans="1:10" x14ac:dyDescent="0.2">
      <c r="A31" s="13" t="str">
        <f>Table1[Invoice + Item]</f>
        <v>8089-1</v>
      </c>
      <c r="B31" t="str">
        <f t="shared" si="0"/>
        <v>Phenacetin</v>
      </c>
      <c r="C31" t="str">
        <f t="array" ref="C31:J31">IFERROR(INDEX(Table1[Diluants], SMALL(IF($A31=Table1[Invoice + Item], ROW(Table1[Diluants]) - 3, ""), COLUMN() - 2)), "")</f>
        <v>Phenacetin</v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</row>
    <row r="32" spans="1:10" x14ac:dyDescent="0.2">
      <c r="A32" s="13" t="str">
        <f>Table1[Invoice + Item]</f>
        <v>8089-2</v>
      </c>
      <c r="B32" t="str">
        <f t="shared" si="0"/>
        <v/>
      </c>
      <c r="C32" t="str">
        <f t="array" ref="C32:J32">IFERROR(INDEX(Table1[Diluants], SMALL(IF($A32=Table1[Invoice + Item], ROW(Table1[Diluants]) - 3, ""), COLUMN() - 2)), "")</f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</row>
    <row r="33" spans="1:10" x14ac:dyDescent="0.2">
      <c r="A33" s="13" t="str">
        <f>Table1[Invoice + Item]</f>
        <v>8718-1</v>
      </c>
      <c r="B33" t="str">
        <f t="shared" si="0"/>
        <v/>
      </c>
      <c r="C33" t="str">
        <f t="array" ref="C33:J33">IFERROR(INDEX(Table1[Diluants], SMALL(IF($A33=Table1[Invoice + Item], ROW(Table1[Diluants]) - 3, ""), COLUMN() - 2)), "")</f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</row>
    <row r="34" spans="1:10" x14ac:dyDescent="0.2">
      <c r="A34" s="13" t="str">
        <f>Table1[Invoice + Item]</f>
        <v>8896-14</v>
      </c>
      <c r="B34" t="str">
        <f t="shared" si="0"/>
        <v/>
      </c>
      <c r="C34" t="str">
        <f t="array" ref="C34:J34">IFERROR(INDEX(Table1[Diluants], SMALL(IF($A34=Table1[Invoice + Item], ROW(Table1[Diluants]) - 3, ""), COLUMN() - 2)), "")</f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</row>
    <row r="35" spans="1:10" x14ac:dyDescent="0.2">
      <c r="A35" s="13" t="str">
        <f>Table1[Invoice + Item]</f>
        <v>8896-5A</v>
      </c>
      <c r="B35" t="str">
        <f t="shared" si="0"/>
        <v/>
      </c>
      <c r="C35" t="str">
        <f t="array" ref="C35:J35">IFERROR(INDEX(Table1[Diluants], SMALL(IF($A35=Table1[Invoice + Item], ROW(Table1[Diluants]) - 3, ""), COLUMN() - 2)), "")</f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</row>
    <row r="36" spans="1:10" x14ac:dyDescent="0.2">
      <c r="A36" s="13" t="str">
        <f>Table1[Invoice + Item]</f>
        <v>8896-7</v>
      </c>
      <c r="B36" t="str">
        <f t="shared" si="0"/>
        <v/>
      </c>
      <c r="C36" t="str">
        <f t="array" ref="C36:J36">IFERROR(INDEX(Table1[Diluants], SMALL(IF($A36=Table1[Invoice + Item], ROW(Table1[Diluants]) - 3, ""), COLUMN() - 2)), "")</f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</row>
    <row r="37" spans="1:10" x14ac:dyDescent="0.2">
      <c r="A37" s="13" t="str">
        <f>Table1[Invoice + Item]</f>
        <v>9893-1</v>
      </c>
      <c r="B37" t="str">
        <f t="shared" si="0"/>
        <v/>
      </c>
      <c r="C37" t="str">
        <f t="array" ref="C37:J37">IFERROR(INDEX(Table1[Diluants], SMALL(IF($A37=Table1[Invoice + Item], ROW(Table1[Diluants]) - 3, ""), COLUMN() - 2)), "")</f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</row>
    <row r="38" spans="1:10" x14ac:dyDescent="0.2">
      <c r="A38" s="13" t="str">
        <f>Table1[Invoice + Item]</f>
        <v>9893-1</v>
      </c>
      <c r="B38" t="str">
        <f t="shared" si="0"/>
        <v/>
      </c>
      <c r="C38" t="str">
        <f t="array" ref="C38:J38">IFERROR(INDEX(Table1[Diluants], SMALL(IF($A38=Table1[Invoice + Item], ROW(Table1[Diluants]) - 3, ""), COLUMN() - 2)), "")</f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</row>
    <row r="39" spans="1:10" x14ac:dyDescent="0.2">
      <c r="A39" s="13" t="str">
        <f>Table1[Invoice + Item]</f>
        <v>0303-1</v>
      </c>
      <c r="B39" t="str">
        <f t="shared" si="0"/>
        <v/>
      </c>
      <c r="C39" t="str">
        <f t="array" ref="C39:J39">IFERROR(INDEX(Table1[Diluants], SMALL(IF($A39=Table1[Invoice + Item], ROW(Table1[Diluants]) - 3, ""), COLUMN() - 2)), "")</f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</row>
    <row r="40" spans="1:10" x14ac:dyDescent="0.2">
      <c r="A40" s="13" t="str">
        <f>Table1[Invoice + Item]</f>
        <v>0303-2A</v>
      </c>
      <c r="B40" t="str">
        <f t="shared" si="0"/>
        <v>Procaine</v>
      </c>
      <c r="C40" t="str">
        <f t="array" ref="C40:J40">IFERROR(INDEX(Table1[Diluants], SMALL(IF($A40=Table1[Invoice + Item], ROW(Table1[Diluants]) - 3, ""), COLUMN() - 2)), "")</f>
        <v/>
      </c>
      <c r="D40" t="str">
        <v>Procaine</v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</row>
    <row r="41" spans="1:10" x14ac:dyDescent="0.2">
      <c r="A41" s="13" t="str">
        <f>Table1[Invoice + Item]</f>
        <v>0303-2A</v>
      </c>
      <c r="B41" t="str">
        <f t="shared" si="0"/>
        <v>Procaine</v>
      </c>
      <c r="C41" t="str">
        <f t="array" ref="C41:J41">IFERROR(INDEX(Table1[Diluants], SMALL(IF($A41=Table1[Invoice + Item], ROW(Table1[Diluants]) - 3, ""), COLUMN() - 2)), "")</f>
        <v/>
      </c>
      <c r="D41" t="str">
        <v>Procaine</v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</row>
    <row r="42" spans="1:10" x14ac:dyDescent="0.2">
      <c r="A42" s="13" t="str">
        <f>Table1[Invoice + Item]</f>
        <v>0303-2B</v>
      </c>
      <c r="B42" t="str">
        <f t="shared" si="0"/>
        <v>Noscapine,Phenacetin,Quinine,Caffeine</v>
      </c>
      <c r="C42" t="str">
        <f t="array" ref="C42:J42">IFERROR(INDEX(Table1[Diluants], SMALL(IF($A42=Table1[Invoice + Item], ROW(Table1[Diluants]) - 3, ""), COLUMN() - 2)), "")</f>
        <v>Noscapine</v>
      </c>
      <c r="D42" t="str">
        <v>Phenacetin</v>
      </c>
      <c r="E42" t="str">
        <v>Quinine</v>
      </c>
      <c r="F42" t="str">
        <v>Caffeine</v>
      </c>
      <c r="G42" t="str">
        <v/>
      </c>
      <c r="H42" t="str">
        <v/>
      </c>
      <c r="I42" t="str">
        <v/>
      </c>
      <c r="J42" t="str">
        <v/>
      </c>
    </row>
    <row r="43" spans="1:10" x14ac:dyDescent="0.2">
      <c r="A43" s="13" t="str">
        <f>Table1[Invoice + Item]</f>
        <v>0303-2B</v>
      </c>
      <c r="B43" t="str">
        <f t="shared" si="0"/>
        <v>Noscapine,Phenacetin,Quinine,Caffeine</v>
      </c>
      <c r="C43" t="str">
        <f t="array" ref="C43:J43">IFERROR(INDEX(Table1[Diluants], SMALL(IF($A43=Table1[Invoice + Item], ROW(Table1[Diluants]) - 3, ""), COLUMN() - 2)), "")</f>
        <v>Noscapine</v>
      </c>
      <c r="D43" t="str">
        <v>Phenacetin</v>
      </c>
      <c r="E43" t="str">
        <v>Quinine</v>
      </c>
      <c r="F43" t="str">
        <v>Caffeine</v>
      </c>
      <c r="G43" t="str">
        <v/>
      </c>
      <c r="H43" t="str">
        <v/>
      </c>
      <c r="I43" t="str">
        <v/>
      </c>
      <c r="J43" t="str">
        <v/>
      </c>
    </row>
    <row r="44" spans="1:10" x14ac:dyDescent="0.2">
      <c r="A44" s="13" t="str">
        <f>Table1[Invoice + Item]</f>
        <v>0303-2B</v>
      </c>
      <c r="B44" t="str">
        <f t="shared" si="0"/>
        <v>Noscapine,Phenacetin,Quinine,Caffeine</v>
      </c>
      <c r="C44" t="str">
        <f t="array" ref="C44:J44">IFERROR(INDEX(Table1[Diluants], SMALL(IF($A44=Table1[Invoice + Item], ROW(Table1[Diluants]) - 3, ""), COLUMN() - 2)), "")</f>
        <v>Noscapine</v>
      </c>
      <c r="D44" t="str">
        <v>Phenacetin</v>
      </c>
      <c r="E44" t="str">
        <v>Quinine</v>
      </c>
      <c r="F44" t="str">
        <v>Caffeine</v>
      </c>
      <c r="G44" t="str">
        <v/>
      </c>
      <c r="H44" t="str">
        <v/>
      </c>
      <c r="I44" t="str">
        <v/>
      </c>
      <c r="J44" t="str">
        <v/>
      </c>
    </row>
    <row r="45" spans="1:10" x14ac:dyDescent="0.2">
      <c r="A45" s="13" t="str">
        <f>Table1[Invoice + Item]</f>
        <v>0303-2B</v>
      </c>
      <c r="B45" t="str">
        <f t="shared" si="0"/>
        <v>Noscapine,Phenacetin,Quinine,Caffeine</v>
      </c>
      <c r="C45" t="str">
        <f t="array" ref="C45:J45">IFERROR(INDEX(Table1[Diluants], SMALL(IF($A45=Table1[Invoice + Item], ROW(Table1[Diluants]) - 3, ""), COLUMN() - 2)), "")</f>
        <v>Noscapine</v>
      </c>
      <c r="D45" t="str">
        <v>Phenacetin</v>
      </c>
      <c r="E45" t="str">
        <v>Quinine</v>
      </c>
      <c r="F45" t="str">
        <v>Caffeine</v>
      </c>
      <c r="G45" t="str">
        <v/>
      </c>
      <c r="H45" t="str">
        <v/>
      </c>
      <c r="I45" t="str">
        <v/>
      </c>
      <c r="J45" t="str">
        <v/>
      </c>
    </row>
  </sheetData>
  <conditionalFormatting sqref="A3">
    <cfRule type="duplicateValues" dxfId="18" priority="3" stopIfTrue="1"/>
  </conditionalFormatting>
  <conditionalFormatting sqref="A4:A45">
    <cfRule type="duplicateValues" dxfId="17" priority="20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5"/>
  <sheetViews>
    <sheetView topLeftCell="A25" workbookViewId="0">
      <selection activeCell="A46" sqref="A46:J621"/>
    </sheetView>
  </sheetViews>
  <sheetFormatPr defaultRowHeight="12.75" x14ac:dyDescent="0.2"/>
  <cols>
    <col min="1" max="1" width="28.42578125" bestFit="1" customWidth="1"/>
    <col min="2" max="2" width="16.5703125" bestFit="1" customWidth="1"/>
    <col min="3" max="3" width="23.85546875" bestFit="1" customWidth="1"/>
    <col min="4" max="4" width="21.5703125" bestFit="1" customWidth="1"/>
    <col min="5" max="5" width="20.42578125" bestFit="1" customWidth="1"/>
    <col min="6" max="6" width="8.140625" bestFit="1" customWidth="1"/>
    <col min="7" max="10" width="5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" t="s">
        <v>43</v>
      </c>
      <c r="B3" s="5" t="s">
        <v>55</v>
      </c>
      <c r="C3" s="4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</row>
    <row r="4" spans="1:10" x14ac:dyDescent="0.2">
      <c r="A4" s="13" t="str">
        <f>Table1[Invoice + Item]</f>
        <v>0277-1</v>
      </c>
      <c r="B4" t="str">
        <f t="shared" ref="B4:B45" si="0">MyConcat(C4:J4)</f>
        <v/>
      </c>
      <c r="C4" s="6">
        <f t="array" ref="C4:J4">IFERROR(INDEX(Table1[Non-NYS Controlled Substances], SMALL(IF($A4 =Table1[Invoice + Item], ROW(Table1[Non-NYS Controlled Substances]) - 3, ""), COLUMN() - 2)), "")</f>
        <v>0</v>
      </c>
      <c r="D4" s="6" t="str">
        <v/>
      </c>
      <c r="E4" s="6" t="str">
        <v/>
      </c>
      <c r="F4" s="6" t="str">
        <v/>
      </c>
      <c r="G4" s="6" t="str">
        <v/>
      </c>
      <c r="H4" s="6" t="str">
        <v/>
      </c>
      <c r="I4" s="6" t="str">
        <v/>
      </c>
      <c r="J4" s="6" t="str">
        <v/>
      </c>
    </row>
    <row r="5" spans="1:10" x14ac:dyDescent="0.2">
      <c r="A5" s="13" t="str">
        <f>Table1[Invoice + Item]</f>
        <v>8197-4A</v>
      </c>
      <c r="B5" t="str">
        <f t="shared" si="0"/>
        <v/>
      </c>
      <c r="C5" s="6">
        <f t="array" ref="C5:J5">IFERROR(INDEX(Table1[Non-NYS Controlled Substances], SMALL(IF($A5 =Table1[Invoice + Item], ROW(Table1[Non-NYS Controlled Substances]) - 3, ""), COLUMN() - 2)), "")</f>
        <v>0</v>
      </c>
      <c r="D5" s="6">
        <v>0</v>
      </c>
      <c r="E5" s="6" t="str">
        <v/>
      </c>
      <c r="F5" s="6" t="str">
        <v/>
      </c>
      <c r="G5" s="6" t="str">
        <v/>
      </c>
      <c r="H5" s="6" t="str">
        <v/>
      </c>
      <c r="I5" s="6" t="str">
        <v/>
      </c>
      <c r="J5" s="6" t="str">
        <v/>
      </c>
    </row>
    <row r="6" spans="1:10" x14ac:dyDescent="0.2">
      <c r="A6" s="13" t="str">
        <f>Table1[Invoice + Item]</f>
        <v>8197-4A</v>
      </c>
      <c r="B6" t="str">
        <f t="shared" si="0"/>
        <v/>
      </c>
      <c r="C6" s="6">
        <f t="array" ref="C6:J6">IFERROR(INDEX(Table1[Non-NYS Controlled Substances], SMALL(IF($A6 =Table1[Invoice + Item], ROW(Table1[Non-NYS Controlled Substances]) - 3, ""), COLUMN() - 2)), "")</f>
        <v>0</v>
      </c>
      <c r="D6" s="6">
        <v>0</v>
      </c>
      <c r="E6" s="6" t="str">
        <v/>
      </c>
      <c r="F6" s="6" t="str">
        <v/>
      </c>
      <c r="G6" s="6" t="str">
        <v/>
      </c>
      <c r="H6" s="6" t="str">
        <v/>
      </c>
      <c r="I6" s="6" t="str">
        <v/>
      </c>
      <c r="J6" s="6" t="str">
        <v/>
      </c>
    </row>
    <row r="7" spans="1:10" x14ac:dyDescent="0.2">
      <c r="A7" s="13" t="str">
        <f>Table1[Invoice + Item]</f>
        <v>8197-4B</v>
      </c>
      <c r="B7" t="str">
        <f t="shared" si="0"/>
        <v/>
      </c>
      <c r="C7" s="6">
        <f t="array" ref="C7:J7">IFERROR(INDEX(Table1[Non-NYS Controlled Substances], SMALL(IF($A7 =Table1[Invoice + Item], ROW(Table1[Non-NYS Controlled Substances]) - 3, ""), COLUMN() - 2)), "")</f>
        <v>0</v>
      </c>
      <c r="D7" s="6">
        <v>0</v>
      </c>
      <c r="E7" s="6">
        <v>0</v>
      </c>
      <c r="F7" s="6">
        <v>0</v>
      </c>
      <c r="G7" s="6" t="str">
        <v/>
      </c>
      <c r="H7" s="6" t="str">
        <v/>
      </c>
      <c r="I7" s="6" t="str">
        <v/>
      </c>
      <c r="J7" s="6" t="str">
        <v/>
      </c>
    </row>
    <row r="8" spans="1:10" x14ac:dyDescent="0.2">
      <c r="A8" s="13" t="str">
        <f>Table1[Invoice + Item]</f>
        <v>8197-4B</v>
      </c>
      <c r="B8" t="str">
        <f t="shared" si="0"/>
        <v/>
      </c>
      <c r="C8" s="6">
        <f t="array" ref="C8:J8">IFERROR(INDEX(Table1[Non-NYS Controlled Substances], SMALL(IF($A8 =Table1[Invoice + Item], ROW(Table1[Non-NYS Controlled Substances]) - 3, ""), COLUMN() - 2)), "")</f>
        <v>0</v>
      </c>
      <c r="D8" s="6">
        <v>0</v>
      </c>
      <c r="E8" s="6">
        <v>0</v>
      </c>
      <c r="F8" s="6">
        <v>0</v>
      </c>
      <c r="G8" s="6" t="str">
        <v/>
      </c>
      <c r="H8" s="6" t="str">
        <v/>
      </c>
      <c r="I8" s="6" t="str">
        <v/>
      </c>
      <c r="J8" s="6" t="str">
        <v/>
      </c>
    </row>
    <row r="9" spans="1:10" x14ac:dyDescent="0.2">
      <c r="A9" s="13" t="str">
        <f>Table1[Invoice + Item]</f>
        <v>8197-4B</v>
      </c>
      <c r="B9" t="str">
        <f t="shared" si="0"/>
        <v/>
      </c>
      <c r="C9" s="6">
        <f t="array" ref="C9:J9">IFERROR(INDEX(Table1[Non-NYS Controlled Substances], SMALL(IF($A9 =Table1[Invoice + Item], ROW(Table1[Non-NYS Controlled Substances]) - 3, ""), COLUMN() - 2)), "")</f>
        <v>0</v>
      </c>
      <c r="D9" s="6">
        <v>0</v>
      </c>
      <c r="E9" s="6">
        <v>0</v>
      </c>
      <c r="F9" s="6">
        <v>0</v>
      </c>
      <c r="G9" s="6" t="str">
        <v/>
      </c>
      <c r="H9" s="6" t="str">
        <v/>
      </c>
      <c r="I9" s="6" t="str">
        <v/>
      </c>
      <c r="J9" s="6" t="str">
        <v/>
      </c>
    </row>
    <row r="10" spans="1:10" x14ac:dyDescent="0.2">
      <c r="A10" s="13" t="str">
        <f>Table1[Invoice + Item]</f>
        <v>8197-4B</v>
      </c>
      <c r="B10" t="str">
        <f t="shared" si="0"/>
        <v/>
      </c>
      <c r="C10" s="6">
        <f t="array" ref="C10:J10">IFERROR(INDEX(Table1[Non-NYS Controlled Substances], SMALL(IF($A10 =Table1[Invoice + Item], ROW(Table1[Non-NYS Controlled Substances]) - 3, ""), COLUMN() - 2)), "")</f>
        <v>0</v>
      </c>
      <c r="D10" s="6">
        <v>0</v>
      </c>
      <c r="E10" s="6">
        <v>0</v>
      </c>
      <c r="F10" s="6">
        <v>0</v>
      </c>
      <c r="G10" s="6" t="str">
        <v/>
      </c>
      <c r="H10" s="6" t="str">
        <v/>
      </c>
      <c r="I10" s="6" t="str">
        <v/>
      </c>
      <c r="J10" s="6" t="str">
        <v/>
      </c>
    </row>
    <row r="11" spans="1:10" x14ac:dyDescent="0.2">
      <c r="A11" s="13" t="str">
        <f>Table1[Invoice + Item]</f>
        <v>8199-1</v>
      </c>
      <c r="B11" t="str">
        <f t="shared" si="0"/>
        <v/>
      </c>
      <c r="C11" s="6">
        <f t="array" ref="C11:J11">IFERROR(INDEX(Table1[Non-NYS Controlled Substances], SMALL(IF($A11 =Table1[Invoice + Item], ROW(Table1[Non-NYS Controlled Substances]) - 3, ""), COLUMN() - 2)), "")</f>
        <v>0</v>
      </c>
      <c r="D11" s="6">
        <v>0</v>
      </c>
      <c r="E11" s="6" t="str">
        <v/>
      </c>
      <c r="F11" s="6" t="str">
        <v/>
      </c>
      <c r="G11" s="6" t="str">
        <v/>
      </c>
      <c r="H11" s="6" t="str">
        <v/>
      </c>
      <c r="I11" s="6" t="str">
        <v/>
      </c>
      <c r="J11" s="6" t="str">
        <v/>
      </c>
    </row>
    <row r="12" spans="1:10" x14ac:dyDescent="0.2">
      <c r="A12" s="13" t="str">
        <f>Table1[Invoice + Item]</f>
        <v>8199-1</v>
      </c>
      <c r="B12" t="str">
        <f t="shared" si="0"/>
        <v/>
      </c>
      <c r="C12" s="6">
        <f t="array" ref="C12:J12">IFERROR(INDEX(Table1[Non-NYS Controlled Substances], SMALL(IF($A12 =Table1[Invoice + Item], ROW(Table1[Non-NYS Controlled Substances]) - 3, ""), COLUMN() - 2)), "")</f>
        <v>0</v>
      </c>
      <c r="D12" s="6">
        <v>0</v>
      </c>
      <c r="E12" s="6" t="str">
        <v/>
      </c>
      <c r="F12" s="6" t="str">
        <v/>
      </c>
      <c r="G12" s="6" t="str">
        <v/>
      </c>
      <c r="H12" s="6" t="str">
        <v/>
      </c>
      <c r="I12" s="6" t="str">
        <v/>
      </c>
      <c r="J12" s="6" t="str">
        <v/>
      </c>
    </row>
    <row r="13" spans="1:10" x14ac:dyDescent="0.2">
      <c r="A13" s="13" t="str">
        <f>Table1[Invoice + Item]</f>
        <v>8199-3A</v>
      </c>
      <c r="B13" t="str">
        <f t="shared" si="0"/>
        <v/>
      </c>
      <c r="C13" s="6">
        <f t="array" ref="C13:J13">IFERROR(INDEX(Table1[Non-NYS Controlled Substances], SMALL(IF($A13 =Table1[Invoice + Item], ROW(Table1[Non-NYS Controlled Substances]) - 3, ""), COLUMN() - 2)), "")</f>
        <v>0</v>
      </c>
      <c r="D13" s="6">
        <v>0</v>
      </c>
      <c r="E13" s="6" t="str">
        <v/>
      </c>
      <c r="F13" s="6" t="str">
        <v/>
      </c>
      <c r="G13" s="6" t="str">
        <v/>
      </c>
      <c r="H13" s="6" t="str">
        <v/>
      </c>
      <c r="I13" s="6" t="str">
        <v/>
      </c>
      <c r="J13" s="6" t="str">
        <v/>
      </c>
    </row>
    <row r="14" spans="1:10" x14ac:dyDescent="0.2">
      <c r="A14" s="13" t="str">
        <f>Table1[Invoice + Item]</f>
        <v>8199-3A</v>
      </c>
      <c r="B14" t="str">
        <f t="shared" si="0"/>
        <v/>
      </c>
      <c r="C14" s="6">
        <f t="array" ref="C14:J14">IFERROR(INDEX(Table1[Non-NYS Controlled Substances], SMALL(IF($A14 =Table1[Invoice + Item], ROW(Table1[Non-NYS Controlled Substances]) - 3, ""), COLUMN() - 2)), "")</f>
        <v>0</v>
      </c>
      <c r="D14" s="6">
        <v>0</v>
      </c>
      <c r="E14" s="6" t="str">
        <v/>
      </c>
      <c r="F14" s="6" t="str">
        <v/>
      </c>
      <c r="G14" s="6" t="str">
        <v/>
      </c>
      <c r="H14" s="6" t="str">
        <v/>
      </c>
      <c r="I14" s="6" t="str">
        <v/>
      </c>
      <c r="J14" s="6" t="str">
        <v/>
      </c>
    </row>
    <row r="15" spans="1:10" x14ac:dyDescent="0.2">
      <c r="A15" s="13" t="str">
        <f>Table1[Invoice + Item]</f>
        <v>9562-1A</v>
      </c>
      <c r="B15" t="str">
        <f t="shared" si="0"/>
        <v/>
      </c>
      <c r="C15" s="6">
        <f t="array" ref="C15:J15">IFERROR(INDEX(Table1[Non-NYS Controlled Substances], SMALL(IF($A15 =Table1[Invoice + Item], ROW(Table1[Non-NYS Controlled Substances]) - 3, ""), COLUMN() - 2)), "")</f>
        <v>0</v>
      </c>
      <c r="D15" s="6">
        <v>0</v>
      </c>
      <c r="E15" s="6">
        <v>0</v>
      </c>
      <c r="F15" s="6">
        <v>0</v>
      </c>
      <c r="G15" s="6" t="str">
        <v/>
      </c>
      <c r="H15" s="6" t="str">
        <v/>
      </c>
      <c r="I15" s="6" t="str">
        <v/>
      </c>
      <c r="J15" s="6" t="str">
        <v/>
      </c>
    </row>
    <row r="16" spans="1:10" x14ac:dyDescent="0.2">
      <c r="A16" s="13" t="str">
        <f>Table1[Invoice + Item]</f>
        <v>9562-1A</v>
      </c>
      <c r="B16" t="str">
        <f t="shared" si="0"/>
        <v/>
      </c>
      <c r="C16" s="6">
        <f t="array" ref="C16:J16">IFERROR(INDEX(Table1[Non-NYS Controlled Substances], SMALL(IF($A16 =Table1[Invoice + Item], ROW(Table1[Non-NYS Controlled Substances]) - 3, ""), COLUMN() - 2)), "")</f>
        <v>0</v>
      </c>
      <c r="D16" s="6">
        <v>0</v>
      </c>
      <c r="E16" s="6">
        <v>0</v>
      </c>
      <c r="F16" s="6">
        <v>0</v>
      </c>
      <c r="G16" s="6" t="str">
        <v/>
      </c>
      <c r="H16" s="6" t="str">
        <v/>
      </c>
      <c r="I16" s="6" t="str">
        <v/>
      </c>
      <c r="J16" s="6" t="str">
        <v/>
      </c>
    </row>
    <row r="17" spans="1:10" x14ac:dyDescent="0.2">
      <c r="A17" s="13" t="str">
        <f>Table1[Invoice + Item]</f>
        <v>9562-1A</v>
      </c>
      <c r="B17" t="str">
        <f t="shared" si="0"/>
        <v/>
      </c>
      <c r="C17" s="6">
        <f t="array" ref="C17:J17">IFERROR(INDEX(Table1[Non-NYS Controlled Substances], SMALL(IF($A17 =Table1[Invoice + Item], ROW(Table1[Non-NYS Controlled Substances]) - 3, ""), COLUMN() - 2)), "")</f>
        <v>0</v>
      </c>
      <c r="D17" s="6">
        <v>0</v>
      </c>
      <c r="E17" s="6">
        <v>0</v>
      </c>
      <c r="F17" s="6">
        <v>0</v>
      </c>
      <c r="G17" s="6" t="str">
        <v/>
      </c>
      <c r="H17" s="6" t="str">
        <v/>
      </c>
      <c r="I17" s="6" t="str">
        <v/>
      </c>
      <c r="J17" s="6" t="str">
        <v/>
      </c>
    </row>
    <row r="18" spans="1:10" x14ac:dyDescent="0.2">
      <c r="A18" s="13" t="str">
        <f>Table1[Invoice + Item]</f>
        <v>9562-1A</v>
      </c>
      <c r="B18" t="str">
        <f t="shared" si="0"/>
        <v/>
      </c>
      <c r="C18" s="6">
        <f t="array" ref="C18:J18">IFERROR(INDEX(Table1[Non-NYS Controlled Substances], SMALL(IF($A18 =Table1[Invoice + Item], ROW(Table1[Non-NYS Controlled Substances]) - 3, ""), COLUMN() - 2)), "")</f>
        <v>0</v>
      </c>
      <c r="D18" s="6">
        <v>0</v>
      </c>
      <c r="E18" s="6">
        <v>0</v>
      </c>
      <c r="F18" s="6">
        <v>0</v>
      </c>
      <c r="G18" s="6" t="str">
        <v/>
      </c>
      <c r="H18" s="6" t="str">
        <v/>
      </c>
      <c r="I18" s="6" t="str">
        <v/>
      </c>
      <c r="J18" s="6" t="str">
        <v/>
      </c>
    </row>
    <row r="19" spans="1:10" x14ac:dyDescent="0.2">
      <c r="A19" s="13" t="str">
        <f>Table1[Invoice + Item]</f>
        <v>9562-2A</v>
      </c>
      <c r="B19" t="str">
        <f t="shared" si="0"/>
        <v/>
      </c>
      <c r="C19" s="6">
        <f t="array" ref="C19:J19">IFERROR(INDEX(Table1[Non-NYS Controlled Substances], SMALL(IF($A19 =Table1[Invoice + Item], ROW(Table1[Non-NYS Controlled Substances]) - 3, ""), COLUMN() - 2)), "")</f>
        <v>0</v>
      </c>
      <c r="D19" s="6">
        <v>0</v>
      </c>
      <c r="E19" s="6">
        <v>0</v>
      </c>
      <c r="F19" s="6">
        <v>0</v>
      </c>
      <c r="G19" s="6" t="str">
        <v/>
      </c>
      <c r="H19" s="6" t="str">
        <v/>
      </c>
      <c r="I19" s="6" t="str">
        <v/>
      </c>
      <c r="J19" s="6" t="str">
        <v/>
      </c>
    </row>
    <row r="20" spans="1:10" x14ac:dyDescent="0.2">
      <c r="A20" s="13" t="str">
        <f>Table1[Invoice + Item]</f>
        <v>9562-2A</v>
      </c>
      <c r="B20" t="str">
        <f t="shared" si="0"/>
        <v/>
      </c>
      <c r="C20" s="6">
        <f t="array" ref="C20:J20">IFERROR(INDEX(Table1[Non-NYS Controlled Substances], SMALL(IF($A20 =Table1[Invoice + Item], ROW(Table1[Non-NYS Controlled Substances]) - 3, ""), COLUMN() - 2)), "")</f>
        <v>0</v>
      </c>
      <c r="D20" s="6">
        <v>0</v>
      </c>
      <c r="E20" s="6">
        <v>0</v>
      </c>
      <c r="F20" s="6">
        <v>0</v>
      </c>
      <c r="G20" s="6" t="str">
        <v/>
      </c>
      <c r="H20" s="6" t="str">
        <v/>
      </c>
      <c r="I20" s="6" t="str">
        <v/>
      </c>
      <c r="J20" s="6" t="str">
        <v/>
      </c>
    </row>
    <row r="21" spans="1:10" x14ac:dyDescent="0.2">
      <c r="A21" s="13" t="str">
        <f>Table1[Invoice + Item]</f>
        <v>9562-2A</v>
      </c>
      <c r="B21" t="str">
        <f t="shared" si="0"/>
        <v/>
      </c>
      <c r="C21" s="6">
        <f t="array" ref="C21:J21">IFERROR(INDEX(Table1[Non-NYS Controlled Substances], SMALL(IF($A21 =Table1[Invoice + Item], ROW(Table1[Non-NYS Controlled Substances]) - 3, ""), COLUMN() - 2)), "")</f>
        <v>0</v>
      </c>
      <c r="D21" s="6">
        <v>0</v>
      </c>
      <c r="E21" s="6">
        <v>0</v>
      </c>
      <c r="F21" s="6">
        <v>0</v>
      </c>
      <c r="G21" s="6" t="str">
        <v/>
      </c>
      <c r="H21" s="6" t="str">
        <v/>
      </c>
      <c r="I21" s="6" t="str">
        <v/>
      </c>
      <c r="J21" s="6" t="str">
        <v/>
      </c>
    </row>
    <row r="22" spans="1:10" x14ac:dyDescent="0.2">
      <c r="A22" s="13" t="str">
        <f>Table1[Invoice + Item]</f>
        <v>9562-2A</v>
      </c>
      <c r="B22" t="str">
        <f t="shared" si="0"/>
        <v/>
      </c>
      <c r="C22" s="6">
        <f t="array" ref="C22:J22">IFERROR(INDEX(Table1[Non-NYS Controlled Substances], SMALL(IF($A22 =Table1[Invoice + Item], ROW(Table1[Non-NYS Controlled Substances]) - 3, ""), COLUMN() - 2)), "")</f>
        <v>0</v>
      </c>
      <c r="D22" s="6">
        <v>0</v>
      </c>
      <c r="E22" s="6">
        <v>0</v>
      </c>
      <c r="F22" s="6">
        <v>0</v>
      </c>
      <c r="G22" s="6" t="str">
        <v/>
      </c>
      <c r="H22" s="6" t="str">
        <v/>
      </c>
      <c r="I22" s="6" t="str">
        <v/>
      </c>
      <c r="J22" s="6" t="str">
        <v/>
      </c>
    </row>
    <row r="23" spans="1:10" x14ac:dyDescent="0.2">
      <c r="A23" s="13" t="str">
        <f>Table1[Invoice + Item]</f>
        <v>8191-12</v>
      </c>
      <c r="B23" t="str">
        <f t="shared" si="0"/>
        <v/>
      </c>
      <c r="C23" s="6">
        <f t="array" ref="C23:J23">IFERROR(INDEX(Table1[Non-NYS Controlled Substances], SMALL(IF($A23 =Table1[Invoice + Item], ROW(Table1[Non-NYS Controlled Substances]) - 3, ""), COLUMN() - 2)), "")</f>
        <v>0</v>
      </c>
      <c r="D23" s="6" t="str">
        <v/>
      </c>
      <c r="E23" s="6" t="str">
        <v/>
      </c>
      <c r="F23" s="6" t="str">
        <v/>
      </c>
      <c r="G23" s="6" t="str">
        <v/>
      </c>
      <c r="H23" s="6" t="str">
        <v/>
      </c>
      <c r="I23" s="6" t="str">
        <v/>
      </c>
      <c r="J23" s="6" t="str">
        <v/>
      </c>
    </row>
    <row r="24" spans="1:10" x14ac:dyDescent="0.2">
      <c r="A24" s="13" t="str">
        <f>Table1[Invoice + Item]</f>
        <v>9496-1</v>
      </c>
      <c r="B24" t="str">
        <f t="shared" si="0"/>
        <v/>
      </c>
      <c r="C24" s="6">
        <f t="array" ref="C24:J24">IFERROR(INDEX(Table1[Non-NYS Controlled Substances], SMALL(IF($A24 =Table1[Invoice + Item], ROW(Table1[Non-NYS Controlled Substances]) - 3, ""), COLUMN() - 2)), "")</f>
        <v>0</v>
      </c>
      <c r="D24" s="6">
        <v>0</v>
      </c>
      <c r="E24" s="6" t="str">
        <v/>
      </c>
      <c r="F24" s="6" t="str">
        <v/>
      </c>
      <c r="G24" s="6" t="str">
        <v/>
      </c>
      <c r="H24" s="6" t="str">
        <v/>
      </c>
      <c r="I24" s="6" t="str">
        <v/>
      </c>
      <c r="J24" s="6" t="str">
        <v/>
      </c>
    </row>
    <row r="25" spans="1:10" x14ac:dyDescent="0.2">
      <c r="A25" s="13" t="str">
        <f>Table1[Invoice + Item]</f>
        <v>9496-1</v>
      </c>
      <c r="B25" t="str">
        <f t="shared" si="0"/>
        <v/>
      </c>
      <c r="C25" s="6">
        <f t="array" ref="C25:J25">IFERROR(INDEX(Table1[Non-NYS Controlled Substances], SMALL(IF($A25 =Table1[Invoice + Item], ROW(Table1[Non-NYS Controlled Substances]) - 3, ""), COLUMN() - 2)), "")</f>
        <v>0</v>
      </c>
      <c r="D25" s="6">
        <v>0</v>
      </c>
      <c r="E25" s="6" t="str">
        <v/>
      </c>
      <c r="F25" s="6" t="str">
        <v/>
      </c>
      <c r="G25" s="6" t="str">
        <v/>
      </c>
      <c r="H25" s="6" t="str">
        <v/>
      </c>
      <c r="I25" s="6" t="str">
        <v/>
      </c>
      <c r="J25" s="6" t="str">
        <v/>
      </c>
    </row>
    <row r="26" spans="1:10" x14ac:dyDescent="0.2">
      <c r="A26" s="13" t="str">
        <f>Table1[Invoice + Item]</f>
        <v>0396-1</v>
      </c>
      <c r="B26" t="str">
        <f t="shared" si="0"/>
        <v/>
      </c>
      <c r="C26" s="6">
        <f t="array" ref="C26:J26">IFERROR(INDEX(Table1[Non-NYS Controlled Substances], SMALL(IF($A26 =Table1[Invoice + Item], ROW(Table1[Non-NYS Controlled Substances]) - 3, ""), COLUMN() - 2)), "")</f>
        <v>0</v>
      </c>
      <c r="D26" s="6" t="str">
        <v/>
      </c>
      <c r="E26" s="6" t="str">
        <v/>
      </c>
      <c r="F26" s="6" t="str">
        <v/>
      </c>
      <c r="G26" s="6" t="str">
        <v/>
      </c>
      <c r="H26" s="6" t="str">
        <v/>
      </c>
      <c r="I26" s="6" t="str">
        <v/>
      </c>
      <c r="J26" s="6" t="str">
        <v/>
      </c>
    </row>
    <row r="27" spans="1:10" x14ac:dyDescent="0.2">
      <c r="A27" s="13" t="str">
        <f>Table1[Invoice + Item]</f>
        <v>7744-1</v>
      </c>
      <c r="B27" t="str">
        <f t="shared" si="0"/>
        <v/>
      </c>
      <c r="C27" s="6">
        <f t="array" ref="C27:J27">IFERROR(INDEX(Table1[Non-NYS Controlled Substances], SMALL(IF($A27 =Table1[Invoice + Item], ROW(Table1[Non-NYS Controlled Substances]) - 3, ""), COLUMN() - 2)), "")</f>
        <v>0</v>
      </c>
      <c r="D27" s="6" t="str">
        <v/>
      </c>
      <c r="E27" s="6" t="str">
        <v/>
      </c>
      <c r="F27" s="6" t="str">
        <v/>
      </c>
      <c r="G27" s="6" t="str">
        <v/>
      </c>
      <c r="H27" s="6" t="str">
        <v/>
      </c>
      <c r="I27" s="6" t="str">
        <v/>
      </c>
      <c r="J27" s="6" t="str">
        <v/>
      </c>
    </row>
    <row r="28" spans="1:10" x14ac:dyDescent="0.2">
      <c r="A28" s="13" t="str">
        <f>Table1[Invoice + Item]</f>
        <v>7744-2</v>
      </c>
      <c r="B28" t="str">
        <f t="shared" si="0"/>
        <v/>
      </c>
      <c r="C28" s="6">
        <f t="array" ref="C28:J28">IFERROR(INDEX(Table1[Non-NYS Controlled Substances], SMALL(IF($A28 =Table1[Invoice + Item], ROW(Table1[Non-NYS Controlled Substances]) - 3, ""), COLUMN() - 2)), "")</f>
        <v>0</v>
      </c>
      <c r="D28" s="6" t="str">
        <v/>
      </c>
      <c r="E28" s="6" t="str">
        <v/>
      </c>
      <c r="F28" s="6" t="str">
        <v/>
      </c>
      <c r="G28" s="6" t="str">
        <v/>
      </c>
      <c r="H28" s="6" t="str">
        <v/>
      </c>
      <c r="I28" s="6" t="str">
        <v/>
      </c>
      <c r="J28" s="6" t="str">
        <v/>
      </c>
    </row>
    <row r="29" spans="1:10" x14ac:dyDescent="0.2">
      <c r="A29" s="13" t="str">
        <f>Table1[Invoice + Item]</f>
        <v>9589-1A</v>
      </c>
      <c r="B29" t="str">
        <f t="shared" si="0"/>
        <v/>
      </c>
      <c r="C29" s="6">
        <f t="array" ref="C29:J29">IFERROR(INDEX(Table1[Non-NYS Controlled Substances], SMALL(IF($A29 =Table1[Invoice + Item], ROW(Table1[Non-NYS Controlled Substances]) - 3, ""), COLUMN() - 2)), "")</f>
        <v>0</v>
      </c>
      <c r="D29" s="6">
        <v>0</v>
      </c>
      <c r="E29" s="6" t="str">
        <v/>
      </c>
      <c r="F29" s="6" t="str">
        <v/>
      </c>
      <c r="G29" s="6" t="str">
        <v/>
      </c>
      <c r="H29" s="6" t="str">
        <v/>
      </c>
      <c r="I29" s="6" t="str">
        <v/>
      </c>
      <c r="J29" s="6" t="str">
        <v/>
      </c>
    </row>
    <row r="30" spans="1:10" x14ac:dyDescent="0.2">
      <c r="A30" s="13" t="str">
        <f>Table1[Invoice + Item]</f>
        <v>9589-1A</v>
      </c>
      <c r="B30" t="str">
        <f t="shared" si="0"/>
        <v/>
      </c>
      <c r="C30" s="6">
        <f t="array" ref="C30:J30">IFERROR(INDEX(Table1[Non-NYS Controlled Substances], SMALL(IF($A30 =Table1[Invoice + Item], ROW(Table1[Non-NYS Controlled Substances]) - 3, ""), COLUMN() - 2)), "")</f>
        <v>0</v>
      </c>
      <c r="D30" s="6">
        <v>0</v>
      </c>
      <c r="E30" s="6" t="str">
        <v/>
      </c>
      <c r="F30" s="6" t="str">
        <v/>
      </c>
      <c r="G30" s="6" t="str">
        <v/>
      </c>
      <c r="H30" s="6" t="str">
        <v/>
      </c>
      <c r="I30" s="6" t="str">
        <v/>
      </c>
      <c r="J30" s="6" t="str">
        <v/>
      </c>
    </row>
    <row r="31" spans="1:10" x14ac:dyDescent="0.2">
      <c r="A31" s="13" t="str">
        <f>Table1[Invoice + Item]</f>
        <v>8089-1</v>
      </c>
      <c r="B31" t="str">
        <f t="shared" si="0"/>
        <v/>
      </c>
      <c r="C31" s="6">
        <f t="array" ref="C31:J31">IFERROR(INDEX(Table1[Non-NYS Controlled Substances], SMALL(IF($A31 =Table1[Invoice + Item], ROW(Table1[Non-NYS Controlled Substances]) - 3, ""), COLUMN() - 2)), "")</f>
        <v>0</v>
      </c>
      <c r="D31" s="6" t="str">
        <v/>
      </c>
      <c r="E31" s="6" t="str">
        <v/>
      </c>
      <c r="F31" s="6" t="str">
        <v/>
      </c>
      <c r="G31" s="6" t="str">
        <v/>
      </c>
      <c r="H31" s="6" t="str">
        <v/>
      </c>
      <c r="I31" s="6" t="str">
        <v/>
      </c>
      <c r="J31" s="6" t="str">
        <v/>
      </c>
    </row>
    <row r="32" spans="1:10" x14ac:dyDescent="0.2">
      <c r="A32" s="13" t="str">
        <f>Table1[Invoice + Item]</f>
        <v>8089-2</v>
      </c>
      <c r="B32" t="str">
        <f t="shared" si="0"/>
        <v/>
      </c>
      <c r="C32" s="6">
        <f t="array" ref="C32:J32">IFERROR(INDEX(Table1[Non-NYS Controlled Substances], SMALL(IF($A32 =Table1[Invoice + Item], ROW(Table1[Non-NYS Controlled Substances]) - 3, ""), COLUMN() - 2)), "")</f>
        <v>0</v>
      </c>
      <c r="D32" s="6" t="str">
        <v/>
      </c>
      <c r="E32" s="6" t="str">
        <v/>
      </c>
      <c r="F32" s="6" t="str">
        <v/>
      </c>
      <c r="G32" s="6" t="str">
        <v/>
      </c>
      <c r="H32" s="6" t="str">
        <v/>
      </c>
      <c r="I32" s="6" t="str">
        <v/>
      </c>
      <c r="J32" s="6" t="str">
        <v/>
      </c>
    </row>
    <row r="33" spans="1:10" x14ac:dyDescent="0.2">
      <c r="A33" s="13" t="str">
        <f>Table1[Invoice + Item]</f>
        <v>8718-1</v>
      </c>
      <c r="B33" t="str">
        <f t="shared" si="0"/>
        <v/>
      </c>
      <c r="C33" s="6">
        <f t="array" ref="C33:J33">IFERROR(INDEX(Table1[Non-NYS Controlled Substances], SMALL(IF($A33 =Table1[Invoice + Item], ROW(Table1[Non-NYS Controlled Substances]) - 3, ""), COLUMN() - 2)), "")</f>
        <v>0</v>
      </c>
      <c r="D33" s="6" t="str">
        <v/>
      </c>
      <c r="E33" s="6" t="str">
        <v/>
      </c>
      <c r="F33" s="6" t="str">
        <v/>
      </c>
      <c r="G33" s="6" t="str">
        <v/>
      </c>
      <c r="H33" s="6" t="str">
        <v/>
      </c>
      <c r="I33" s="6" t="str">
        <v/>
      </c>
      <c r="J33" s="6" t="str">
        <v/>
      </c>
    </row>
    <row r="34" spans="1:10" x14ac:dyDescent="0.2">
      <c r="A34" s="13" t="str">
        <f>Table1[Invoice + Item]</f>
        <v>8896-14</v>
      </c>
      <c r="B34" t="str">
        <f t="shared" si="0"/>
        <v/>
      </c>
      <c r="C34" s="6">
        <f t="array" ref="C34:J34">IFERROR(INDEX(Table1[Non-NYS Controlled Substances], SMALL(IF($A34 =Table1[Invoice + Item], ROW(Table1[Non-NYS Controlled Substances]) - 3, ""), COLUMN() - 2)), "")</f>
        <v>0</v>
      </c>
      <c r="D34" s="6" t="str">
        <v/>
      </c>
      <c r="E34" s="6" t="str">
        <v/>
      </c>
      <c r="F34" s="6" t="str">
        <v/>
      </c>
      <c r="G34" s="6" t="str">
        <v/>
      </c>
      <c r="H34" s="6" t="str">
        <v/>
      </c>
      <c r="I34" s="6" t="str">
        <v/>
      </c>
      <c r="J34" s="6" t="str">
        <v/>
      </c>
    </row>
    <row r="35" spans="1:10" x14ac:dyDescent="0.2">
      <c r="A35" s="13" t="str">
        <f>Table1[Invoice + Item]</f>
        <v>8896-5A</v>
      </c>
      <c r="B35" t="str">
        <f t="shared" si="0"/>
        <v/>
      </c>
      <c r="C35" s="6">
        <f t="array" ref="C35:J35">IFERROR(INDEX(Table1[Non-NYS Controlled Substances], SMALL(IF($A35 =Table1[Invoice + Item], ROW(Table1[Non-NYS Controlled Substances]) - 3, ""), COLUMN() - 2)), "")</f>
        <v>0</v>
      </c>
      <c r="D35" s="6" t="str">
        <v/>
      </c>
      <c r="E35" s="6" t="str">
        <v/>
      </c>
      <c r="F35" s="6" t="str">
        <v/>
      </c>
      <c r="G35" s="6" t="str">
        <v/>
      </c>
      <c r="H35" s="6" t="str">
        <v/>
      </c>
      <c r="I35" s="6" t="str">
        <v/>
      </c>
      <c r="J35" s="6" t="str">
        <v/>
      </c>
    </row>
    <row r="36" spans="1:10" x14ac:dyDescent="0.2">
      <c r="A36" s="13" t="str">
        <f>Table1[Invoice + Item]</f>
        <v>8896-7</v>
      </c>
      <c r="B36" t="str">
        <f t="shared" si="0"/>
        <v/>
      </c>
      <c r="C36" s="6">
        <f t="array" ref="C36:J36">IFERROR(INDEX(Table1[Non-NYS Controlled Substances], SMALL(IF($A36 =Table1[Invoice + Item], ROW(Table1[Non-NYS Controlled Substances]) - 3, ""), COLUMN() - 2)), "")</f>
        <v>0</v>
      </c>
      <c r="D36" s="6" t="str">
        <v/>
      </c>
      <c r="E36" s="6" t="str">
        <v/>
      </c>
      <c r="F36" s="6" t="str">
        <v/>
      </c>
      <c r="G36" s="6" t="str">
        <v/>
      </c>
      <c r="H36" s="6" t="str">
        <v/>
      </c>
      <c r="I36" s="6" t="str">
        <v/>
      </c>
      <c r="J36" s="6" t="str">
        <v/>
      </c>
    </row>
    <row r="37" spans="1:10" x14ac:dyDescent="0.2">
      <c r="A37" s="13" t="str">
        <f>Table1[Invoice + Item]</f>
        <v>9893-1</v>
      </c>
      <c r="B37" t="str">
        <f t="shared" si="0"/>
        <v/>
      </c>
      <c r="C37" s="6">
        <f t="array" ref="C37:J37">IFERROR(INDEX(Table1[Non-NYS Controlled Substances], SMALL(IF($A37 =Table1[Invoice + Item], ROW(Table1[Non-NYS Controlled Substances]) - 3, ""), COLUMN() - 2)), "")</f>
        <v>0</v>
      </c>
      <c r="D37" s="6">
        <v>0</v>
      </c>
      <c r="E37" s="6" t="str">
        <v/>
      </c>
      <c r="F37" s="6" t="str">
        <v/>
      </c>
      <c r="G37" s="6" t="str">
        <v/>
      </c>
      <c r="H37" s="6" t="str">
        <v/>
      </c>
      <c r="I37" s="6" t="str">
        <v/>
      </c>
      <c r="J37" s="6" t="str">
        <v/>
      </c>
    </row>
    <row r="38" spans="1:10" x14ac:dyDescent="0.2">
      <c r="A38" s="13" t="str">
        <f>Table1[Invoice + Item]</f>
        <v>9893-1</v>
      </c>
      <c r="B38" t="str">
        <f t="shared" si="0"/>
        <v/>
      </c>
      <c r="C38" s="6">
        <f t="array" ref="C38:J38">IFERROR(INDEX(Table1[Non-NYS Controlled Substances], SMALL(IF($A38 =Table1[Invoice + Item], ROW(Table1[Non-NYS Controlled Substances]) - 3, ""), COLUMN() - 2)), "")</f>
        <v>0</v>
      </c>
      <c r="D38" s="6">
        <v>0</v>
      </c>
      <c r="E38" s="6" t="str">
        <v/>
      </c>
      <c r="F38" s="6" t="str">
        <v/>
      </c>
      <c r="G38" s="6" t="str">
        <v/>
      </c>
      <c r="H38" s="6" t="str">
        <v/>
      </c>
      <c r="I38" s="6" t="str">
        <v/>
      </c>
      <c r="J38" s="6" t="str">
        <v/>
      </c>
    </row>
    <row r="39" spans="1:10" x14ac:dyDescent="0.2">
      <c r="A39" s="13" t="str">
        <f>Table1[Invoice + Item]</f>
        <v>0303-1</v>
      </c>
      <c r="B39" t="str">
        <f t="shared" si="0"/>
        <v/>
      </c>
      <c r="C39" s="6">
        <f t="array" ref="C39:J39">IFERROR(INDEX(Table1[Non-NYS Controlled Substances], SMALL(IF($A39 =Table1[Invoice + Item], ROW(Table1[Non-NYS Controlled Substances]) - 3, ""), COLUMN() - 2)), "")</f>
        <v>0</v>
      </c>
      <c r="D39" s="6" t="str">
        <v/>
      </c>
      <c r="E39" s="6" t="str">
        <v/>
      </c>
      <c r="F39" s="6" t="str">
        <v/>
      </c>
      <c r="G39" s="6" t="str">
        <v/>
      </c>
      <c r="H39" s="6" t="str">
        <v/>
      </c>
      <c r="I39" s="6" t="str">
        <v/>
      </c>
      <c r="J39" s="6" t="str">
        <v/>
      </c>
    </row>
    <row r="40" spans="1:10" x14ac:dyDescent="0.2">
      <c r="A40" s="13" t="str">
        <f>Table1[Invoice + Item]</f>
        <v>0303-2A</v>
      </c>
      <c r="B40" t="str">
        <f t="shared" si="0"/>
        <v/>
      </c>
      <c r="C40" s="6">
        <f t="array" ref="C40:J40">IFERROR(INDEX(Table1[Non-NYS Controlled Substances], SMALL(IF($A40 =Table1[Invoice + Item], ROW(Table1[Non-NYS Controlled Substances]) - 3, ""), COLUMN() - 2)), "")</f>
        <v>0</v>
      </c>
      <c r="D40" s="6">
        <v>0</v>
      </c>
      <c r="E40" s="6" t="str">
        <v/>
      </c>
      <c r="F40" s="6" t="str">
        <v/>
      </c>
      <c r="G40" s="6" t="str">
        <v/>
      </c>
      <c r="H40" s="6" t="str">
        <v/>
      </c>
      <c r="I40" s="6" t="str">
        <v/>
      </c>
      <c r="J40" s="6" t="str">
        <v/>
      </c>
    </row>
    <row r="41" spans="1:10" x14ac:dyDescent="0.2">
      <c r="A41" s="13" t="str">
        <f>Table1[Invoice + Item]</f>
        <v>0303-2A</v>
      </c>
      <c r="B41" t="str">
        <f t="shared" si="0"/>
        <v/>
      </c>
      <c r="C41" s="6">
        <f t="array" ref="C41:J41">IFERROR(INDEX(Table1[Non-NYS Controlled Substances], SMALL(IF($A41 =Table1[Invoice + Item], ROW(Table1[Non-NYS Controlled Substances]) - 3, ""), COLUMN() - 2)), "")</f>
        <v>0</v>
      </c>
      <c r="D41" s="6">
        <v>0</v>
      </c>
      <c r="E41" s="6" t="str">
        <v/>
      </c>
      <c r="F41" s="6" t="str">
        <v/>
      </c>
      <c r="G41" s="6" t="str">
        <v/>
      </c>
      <c r="H41" s="6" t="str">
        <v/>
      </c>
      <c r="I41" s="6" t="str">
        <v/>
      </c>
      <c r="J41" s="6" t="str">
        <v/>
      </c>
    </row>
    <row r="42" spans="1:10" x14ac:dyDescent="0.2">
      <c r="A42" s="13" t="str">
        <f>Table1[Invoice + Item]</f>
        <v>0303-2B</v>
      </c>
      <c r="B42" t="str">
        <f t="shared" si="0"/>
        <v/>
      </c>
      <c r="C42" s="6">
        <f t="array" ref="C42:J42">IFERROR(INDEX(Table1[Non-NYS Controlled Substances], SMALL(IF($A42 =Table1[Invoice + Item], ROW(Table1[Non-NYS Controlled Substances]) - 3, ""), COLUMN() - 2)), "")</f>
        <v>0</v>
      </c>
      <c r="D42" s="6">
        <v>0</v>
      </c>
      <c r="E42" s="6">
        <v>0</v>
      </c>
      <c r="F42" s="6">
        <v>0</v>
      </c>
      <c r="G42" s="6" t="str">
        <v/>
      </c>
      <c r="H42" s="6" t="str">
        <v/>
      </c>
      <c r="I42" s="6" t="str">
        <v/>
      </c>
      <c r="J42" s="6" t="str">
        <v/>
      </c>
    </row>
    <row r="43" spans="1:10" x14ac:dyDescent="0.2">
      <c r="A43" s="13" t="str">
        <f>Table1[Invoice + Item]</f>
        <v>0303-2B</v>
      </c>
      <c r="B43" t="str">
        <f t="shared" si="0"/>
        <v/>
      </c>
      <c r="C43" s="6">
        <f t="array" ref="C43:J43">IFERROR(INDEX(Table1[Non-NYS Controlled Substances], SMALL(IF($A43 =Table1[Invoice + Item], ROW(Table1[Non-NYS Controlled Substances]) - 3, ""), COLUMN() - 2)), "")</f>
        <v>0</v>
      </c>
      <c r="D43" s="6">
        <v>0</v>
      </c>
      <c r="E43" s="6">
        <v>0</v>
      </c>
      <c r="F43" s="6">
        <v>0</v>
      </c>
      <c r="G43" s="6" t="str">
        <v/>
      </c>
      <c r="H43" s="6" t="str">
        <v/>
      </c>
      <c r="I43" s="6" t="str">
        <v/>
      </c>
      <c r="J43" s="6" t="str">
        <v/>
      </c>
    </row>
    <row r="44" spans="1:10" x14ac:dyDescent="0.2">
      <c r="A44" s="13" t="str">
        <f>Table1[Invoice + Item]</f>
        <v>0303-2B</v>
      </c>
      <c r="B44" t="str">
        <f t="shared" si="0"/>
        <v/>
      </c>
      <c r="C44" s="6">
        <f t="array" ref="C44:J44">IFERROR(INDEX(Table1[Non-NYS Controlled Substances], SMALL(IF($A44 =Table1[Invoice + Item], ROW(Table1[Non-NYS Controlled Substances]) - 3, ""), COLUMN() - 2)), "")</f>
        <v>0</v>
      </c>
      <c r="D44" s="6">
        <v>0</v>
      </c>
      <c r="E44" s="6">
        <v>0</v>
      </c>
      <c r="F44" s="6">
        <v>0</v>
      </c>
      <c r="G44" s="6" t="str">
        <v/>
      </c>
      <c r="H44" s="6" t="str">
        <v/>
      </c>
      <c r="I44" s="6" t="str">
        <v/>
      </c>
      <c r="J44" s="6" t="str">
        <v/>
      </c>
    </row>
    <row r="45" spans="1:10" x14ac:dyDescent="0.2">
      <c r="A45" s="13" t="str">
        <f>Table1[Invoice + Item]</f>
        <v>0303-2B</v>
      </c>
      <c r="B45" t="str">
        <f t="shared" si="0"/>
        <v/>
      </c>
      <c r="C45" s="6">
        <f t="array" ref="C45:J45">IFERROR(INDEX(Table1[Non-NYS Controlled Substances], SMALL(IF($A45 =Table1[Invoice + Item], ROW(Table1[Non-NYS Controlled Substances]) - 3, ""), COLUMN() - 2)), "")</f>
        <v>0</v>
      </c>
      <c r="D45" s="6">
        <v>0</v>
      </c>
      <c r="E45" s="6">
        <v>0</v>
      </c>
      <c r="F45" s="6">
        <v>0</v>
      </c>
      <c r="G45" s="6" t="str">
        <v/>
      </c>
      <c r="H45" s="6" t="str">
        <v/>
      </c>
      <c r="I45" s="6" t="str">
        <v/>
      </c>
      <c r="J45" s="6" t="str">
        <v/>
      </c>
    </row>
  </sheetData>
  <conditionalFormatting sqref="A3">
    <cfRule type="duplicateValues" dxfId="16" priority="4" stopIfTrue="1"/>
  </conditionalFormatting>
  <conditionalFormatting sqref="A4:A45">
    <cfRule type="duplicateValues" dxfId="15" priority="19" stopIfTrue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5"/>
  <sheetViews>
    <sheetView topLeftCell="A37" workbookViewId="0">
      <selection activeCell="C78" sqref="C78"/>
    </sheetView>
  </sheetViews>
  <sheetFormatPr defaultRowHeight="12.75" x14ac:dyDescent="0.2"/>
  <cols>
    <col min="1" max="1" width="14" bestFit="1" customWidth="1"/>
    <col min="2" max="2" width="37.140625" customWidth="1"/>
    <col min="3" max="3" width="5.28515625" bestFit="1" customWidth="1"/>
    <col min="4" max="4" width="8.140625" bestFit="1" customWidth="1"/>
    <col min="5" max="5" width="32.28515625" bestFit="1" customWidth="1"/>
    <col min="6" max="6" width="39.28515625" bestFit="1" customWidth="1"/>
    <col min="7" max="10" width="5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" t="s">
        <v>43</v>
      </c>
      <c r="B3" s="5" t="s">
        <v>46</v>
      </c>
      <c r="C3" s="4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</row>
    <row r="4" spans="1:10" x14ac:dyDescent="0.2">
      <c r="A4" t="str">
        <f>Table1[Invoice + Item]</f>
        <v>0277-1</v>
      </c>
      <c r="B4" t="str">
        <f>MyConcat(C4:J4)</f>
        <v/>
      </c>
      <c r="C4" t="str">
        <f t="array" ref="C4:J4">IFERROR(INDEX(Table1[Fentanyl and Analogs], SMALL(IF($A4 =Table1[Invoice + Item], ROW(Table1[Fentanyl and Analogs]) - 3, ""), COLUMN() - 2)), "")</f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</row>
    <row r="5" spans="1:10" x14ac:dyDescent="0.2">
      <c r="A5" t="str">
        <f>Table1[Invoice + Item]</f>
        <v>8197-4A</v>
      </c>
      <c r="B5" t="str">
        <f t="shared" ref="B5:B45" si="0">MyConcat(C5:J5)</f>
        <v>Fentanyl</v>
      </c>
      <c r="C5" t="str">
        <f t="array" ref="C5:J5">IFERROR(INDEX(Table1[Fentanyl and Analogs], SMALL(IF($A5 =Table1[Invoice + Item], ROW(Table1[Fentanyl and Analogs]) - 3, ""), COLUMN() - 2)), "")</f>
        <v/>
      </c>
      <c r="D5" t="str">
        <v>Fentanyl</v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</row>
    <row r="6" spans="1:10" x14ac:dyDescent="0.2">
      <c r="A6" t="str">
        <f>Table1[Invoice + Item]</f>
        <v>8197-4A</v>
      </c>
      <c r="B6" t="str">
        <f t="shared" si="0"/>
        <v>Fentanyl</v>
      </c>
      <c r="C6" t="str">
        <f t="array" ref="C6:J6">IFERROR(INDEX(Table1[Fentanyl and Analogs], SMALL(IF($A6 =Table1[Invoice + Item], ROW(Table1[Fentanyl and Analogs]) - 3, ""), COLUMN() - 2)), "")</f>
        <v/>
      </c>
      <c r="D6" t="str">
        <v>Fentanyl</v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</row>
    <row r="7" spans="1:10" x14ac:dyDescent="0.2">
      <c r="A7" t="str">
        <f>Table1[Invoice + Item]</f>
        <v>8197-4B</v>
      </c>
      <c r="B7" t="str">
        <f t="shared" si="0"/>
        <v>Fentanyl,Despropionyl Fluorofentanyl,Fluorobutyrylfentanyl/Fluoroisobutyrylfentanyl</v>
      </c>
      <c r="C7" t="str">
        <f t="array" ref="C7:J7">IFERROR(INDEX(Table1[Fentanyl and Analogs], SMALL(IF($A7 =Table1[Invoice + Item], ROW(Table1[Fentanyl and Analogs]) - 3, ""), COLUMN() - 2)), "")</f>
        <v/>
      </c>
      <c r="D7" t="str">
        <v/>
      </c>
      <c r="E7" t="str">
        <v>Fentanyl,Despropionyl Fluorofentanyl</v>
      </c>
      <c r="F7" t="str">
        <v>Fluorobutyrylfentanyl/Fluoroisobutyrylfentanyl</v>
      </c>
      <c r="G7" t="str">
        <v/>
      </c>
      <c r="H7" t="str">
        <v/>
      </c>
      <c r="I7" t="str">
        <v/>
      </c>
      <c r="J7" t="str">
        <v/>
      </c>
    </row>
    <row r="8" spans="1:10" x14ac:dyDescent="0.2">
      <c r="A8" t="str">
        <f>Table1[Invoice + Item]</f>
        <v>8197-4B</v>
      </c>
      <c r="B8" t="str">
        <f t="shared" si="0"/>
        <v>Fentanyl,Despropionyl Fluorofentanyl,Fluorobutyrylfentanyl/Fluoroisobutyrylfentanyl</v>
      </c>
      <c r="C8" t="str">
        <f t="array" ref="C8:J8">IFERROR(INDEX(Table1[Fentanyl and Analogs], SMALL(IF($A8 =Table1[Invoice + Item], ROW(Table1[Fentanyl and Analogs]) - 3, ""), COLUMN() - 2)), "")</f>
        <v/>
      </c>
      <c r="D8" t="str">
        <v/>
      </c>
      <c r="E8" t="str">
        <v>Fentanyl,Despropionyl Fluorofentanyl</v>
      </c>
      <c r="F8" t="str">
        <v>Fluorobutyrylfentanyl/Fluoroisobutyrylfentanyl</v>
      </c>
      <c r="G8" t="str">
        <v/>
      </c>
      <c r="H8" t="str">
        <v/>
      </c>
      <c r="I8" t="str">
        <v/>
      </c>
      <c r="J8" t="str">
        <v/>
      </c>
    </row>
    <row r="9" spans="1:10" x14ac:dyDescent="0.2">
      <c r="A9" t="str">
        <f>Table1[Invoice + Item]</f>
        <v>8197-4B</v>
      </c>
      <c r="B9" t="str">
        <f t="shared" si="0"/>
        <v>Fentanyl,Despropionyl Fluorofentanyl,Fluorobutyrylfentanyl/Fluoroisobutyrylfentanyl</v>
      </c>
      <c r="C9" t="str">
        <f t="array" ref="C9:J9">IFERROR(INDEX(Table1[Fentanyl and Analogs], SMALL(IF($A9 =Table1[Invoice + Item], ROW(Table1[Fentanyl and Analogs]) - 3, ""), COLUMN() - 2)), "")</f>
        <v/>
      </c>
      <c r="D9" t="str">
        <v/>
      </c>
      <c r="E9" t="str">
        <v>Fentanyl,Despropionyl Fluorofentanyl</v>
      </c>
      <c r="F9" t="str">
        <v>Fluorobutyrylfentanyl/Fluoroisobutyrylfentanyl</v>
      </c>
      <c r="G9" t="str">
        <v/>
      </c>
      <c r="H9" t="str">
        <v/>
      </c>
      <c r="I9" t="str">
        <v/>
      </c>
      <c r="J9" t="str">
        <v/>
      </c>
    </row>
    <row r="10" spans="1:10" x14ac:dyDescent="0.2">
      <c r="A10" t="str">
        <f>Table1[Invoice + Item]</f>
        <v>8197-4B</v>
      </c>
      <c r="B10" t="str">
        <f t="shared" si="0"/>
        <v>Fentanyl,Despropionyl Fluorofentanyl,Fluorobutyrylfentanyl/Fluoroisobutyrylfentanyl</v>
      </c>
      <c r="C10" t="str">
        <f t="array" ref="C10:J10">IFERROR(INDEX(Table1[Fentanyl and Analogs], SMALL(IF($A10 =Table1[Invoice + Item], ROW(Table1[Fentanyl and Analogs]) - 3, ""), COLUMN() - 2)), "")</f>
        <v/>
      </c>
      <c r="D10" t="str">
        <v/>
      </c>
      <c r="E10" t="str">
        <v>Fentanyl,Despropionyl Fluorofentanyl</v>
      </c>
      <c r="F10" t="str">
        <v>Fluorobutyrylfentanyl/Fluoroisobutyrylfentanyl</v>
      </c>
      <c r="G10" t="str">
        <v/>
      </c>
      <c r="H10" t="str">
        <v/>
      </c>
      <c r="I10" t="str">
        <v/>
      </c>
      <c r="J10" t="str">
        <v/>
      </c>
    </row>
    <row r="11" spans="1:10" x14ac:dyDescent="0.2">
      <c r="A11" t="str">
        <f>Table1[Invoice + Item]</f>
        <v>8199-1</v>
      </c>
      <c r="B11" t="str">
        <f t="shared" si="0"/>
        <v>Fentanyl</v>
      </c>
      <c r="C11" t="str">
        <f t="array" ref="C11:J11">IFERROR(INDEX(Table1[Fentanyl and Analogs], SMALL(IF($A11 =Table1[Invoice + Item], ROW(Table1[Fentanyl and Analogs]) - 3, ""), COLUMN() - 2)), "")</f>
        <v/>
      </c>
      <c r="D11" t="str">
        <v>Fentanyl</v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</row>
    <row r="12" spans="1:10" x14ac:dyDescent="0.2">
      <c r="A12" t="str">
        <f>Table1[Invoice + Item]</f>
        <v>8199-1</v>
      </c>
      <c r="B12" t="str">
        <f t="shared" si="0"/>
        <v>Fentanyl</v>
      </c>
      <c r="C12" t="str">
        <f t="array" ref="C12:J12">IFERROR(INDEX(Table1[Fentanyl and Analogs], SMALL(IF($A12 =Table1[Invoice + Item], ROW(Table1[Fentanyl and Analogs]) - 3, ""), COLUMN() - 2)), "")</f>
        <v/>
      </c>
      <c r="D12" t="str">
        <v>Fentanyl</v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</row>
    <row r="13" spans="1:10" x14ac:dyDescent="0.2">
      <c r="A13" t="str">
        <f>Table1[Invoice + Item]</f>
        <v>8199-3A</v>
      </c>
      <c r="B13" t="str">
        <f t="shared" si="0"/>
        <v/>
      </c>
      <c r="C13" t="str">
        <f t="array" ref="C13:J13">IFERROR(INDEX(Table1[Fentanyl and Analogs], SMALL(IF($A13 =Table1[Invoice + Item], ROW(Table1[Fentanyl and Analogs]) - 3, ""), COLUMN() - 2)), "")</f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</row>
    <row r="14" spans="1:10" x14ac:dyDescent="0.2">
      <c r="A14" t="str">
        <f>Table1[Invoice + Item]</f>
        <v>8199-3A</v>
      </c>
      <c r="B14" t="str">
        <f t="shared" si="0"/>
        <v/>
      </c>
      <c r="C14" t="str">
        <f t="array" ref="C14:J14">IFERROR(INDEX(Table1[Fentanyl and Analogs], SMALL(IF($A14 =Table1[Invoice + Item], ROW(Table1[Fentanyl and Analogs]) - 3, ""), COLUMN() - 2)), "")</f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</row>
    <row r="15" spans="1:10" x14ac:dyDescent="0.2">
      <c r="A15" t="str">
        <f>Table1[Invoice + Item]</f>
        <v>9562-1A</v>
      </c>
      <c r="B15" t="str">
        <f t="shared" si="0"/>
        <v>Fentanyl</v>
      </c>
      <c r="C15" t="str">
        <f t="array" ref="C15:J15">IFERROR(INDEX(Table1[Fentanyl and Analogs], SMALL(IF($A15 =Table1[Invoice + Item], ROW(Table1[Fentanyl and Analogs]) - 3, ""), COLUMN() - 2)), "")</f>
        <v/>
      </c>
      <c r="D15" t="str">
        <v/>
      </c>
      <c r="E15" t="str">
        <v/>
      </c>
      <c r="F15" t="str">
        <v>Fentanyl</v>
      </c>
      <c r="G15" t="str">
        <v/>
      </c>
      <c r="H15" t="str">
        <v/>
      </c>
      <c r="I15" t="str">
        <v/>
      </c>
      <c r="J15" t="str">
        <v/>
      </c>
    </row>
    <row r="16" spans="1:10" x14ac:dyDescent="0.2">
      <c r="A16" t="str">
        <f>Table1[Invoice + Item]</f>
        <v>9562-1A</v>
      </c>
      <c r="B16" t="str">
        <f t="shared" si="0"/>
        <v>Fentanyl</v>
      </c>
      <c r="C16" t="str">
        <f t="array" ref="C16:J16">IFERROR(INDEX(Table1[Fentanyl and Analogs], SMALL(IF($A16 =Table1[Invoice + Item], ROW(Table1[Fentanyl and Analogs]) - 3, ""), COLUMN() - 2)), "")</f>
        <v/>
      </c>
      <c r="D16" t="str">
        <v/>
      </c>
      <c r="E16" t="str">
        <v/>
      </c>
      <c r="F16" t="str">
        <v>Fentanyl</v>
      </c>
      <c r="G16" t="str">
        <v/>
      </c>
      <c r="H16" t="str">
        <v/>
      </c>
      <c r="I16" t="str">
        <v/>
      </c>
      <c r="J16" t="str">
        <v/>
      </c>
    </row>
    <row r="17" spans="1:10" x14ac:dyDescent="0.2">
      <c r="A17" t="str">
        <f>Table1[Invoice + Item]</f>
        <v>9562-1A</v>
      </c>
      <c r="B17" t="str">
        <f t="shared" si="0"/>
        <v>Fentanyl</v>
      </c>
      <c r="C17" t="str">
        <f t="array" ref="C17:J17">IFERROR(INDEX(Table1[Fentanyl and Analogs], SMALL(IF($A17 =Table1[Invoice + Item], ROW(Table1[Fentanyl and Analogs]) - 3, ""), COLUMN() - 2)), "")</f>
        <v/>
      </c>
      <c r="D17" t="str">
        <v/>
      </c>
      <c r="E17" t="str">
        <v/>
      </c>
      <c r="F17" t="str">
        <v>Fentanyl</v>
      </c>
      <c r="G17" t="str">
        <v/>
      </c>
      <c r="H17" t="str">
        <v/>
      </c>
      <c r="I17" t="str">
        <v/>
      </c>
      <c r="J17" t="str">
        <v/>
      </c>
    </row>
    <row r="18" spans="1:10" x14ac:dyDescent="0.2">
      <c r="A18" t="str">
        <f>Table1[Invoice + Item]</f>
        <v>9562-1A</v>
      </c>
      <c r="B18" t="str">
        <f t="shared" si="0"/>
        <v>Fentanyl</v>
      </c>
      <c r="C18" t="str">
        <f t="array" ref="C18:J18">IFERROR(INDEX(Table1[Fentanyl and Analogs], SMALL(IF($A18 =Table1[Invoice + Item], ROW(Table1[Fentanyl and Analogs]) - 3, ""), COLUMN() - 2)), "")</f>
        <v/>
      </c>
      <c r="D18" t="str">
        <v/>
      </c>
      <c r="E18" t="str">
        <v/>
      </c>
      <c r="F18" t="str">
        <v>Fentanyl</v>
      </c>
      <c r="G18" t="str">
        <v/>
      </c>
      <c r="H18" t="str">
        <v/>
      </c>
      <c r="I18" t="str">
        <v/>
      </c>
      <c r="J18" t="str">
        <v/>
      </c>
    </row>
    <row r="19" spans="1:10" x14ac:dyDescent="0.2">
      <c r="A19" t="str">
        <f>Table1[Invoice + Item]</f>
        <v>9562-2A</v>
      </c>
      <c r="B19" t="str">
        <f t="shared" si="0"/>
        <v>Fentanyl</v>
      </c>
      <c r="C19" t="str">
        <f t="array" ref="C19:J19">IFERROR(INDEX(Table1[Fentanyl and Analogs], SMALL(IF($A19 =Table1[Invoice + Item], ROW(Table1[Fentanyl and Analogs]) - 3, ""), COLUMN() - 2)), "")</f>
        <v/>
      </c>
      <c r="D19" t="str">
        <v/>
      </c>
      <c r="E19" t="str">
        <v/>
      </c>
      <c r="F19" t="str">
        <v>Fentanyl</v>
      </c>
      <c r="G19" t="str">
        <v/>
      </c>
      <c r="H19" t="str">
        <v/>
      </c>
      <c r="I19" t="str">
        <v/>
      </c>
      <c r="J19" t="str">
        <v/>
      </c>
    </row>
    <row r="20" spans="1:10" x14ac:dyDescent="0.2">
      <c r="A20" t="str">
        <f>Table1[Invoice + Item]</f>
        <v>9562-2A</v>
      </c>
      <c r="B20" t="str">
        <f t="shared" si="0"/>
        <v>Fentanyl</v>
      </c>
      <c r="C20" t="str">
        <f t="array" ref="C20:J20">IFERROR(INDEX(Table1[Fentanyl and Analogs], SMALL(IF($A20 =Table1[Invoice + Item], ROW(Table1[Fentanyl and Analogs]) - 3, ""), COLUMN() - 2)), "")</f>
        <v/>
      </c>
      <c r="D20" t="str">
        <v/>
      </c>
      <c r="E20" t="str">
        <v/>
      </c>
      <c r="F20" t="str">
        <v>Fentanyl</v>
      </c>
      <c r="G20" t="str">
        <v/>
      </c>
      <c r="H20" t="str">
        <v/>
      </c>
      <c r="I20" t="str">
        <v/>
      </c>
      <c r="J20" t="str">
        <v/>
      </c>
    </row>
    <row r="21" spans="1:10" x14ac:dyDescent="0.2">
      <c r="A21" t="str">
        <f>Table1[Invoice + Item]</f>
        <v>9562-2A</v>
      </c>
      <c r="B21" t="str">
        <f t="shared" si="0"/>
        <v>Fentanyl</v>
      </c>
      <c r="C21" t="str">
        <f t="array" ref="C21:J21">IFERROR(INDEX(Table1[Fentanyl and Analogs], SMALL(IF($A21 =Table1[Invoice + Item], ROW(Table1[Fentanyl and Analogs]) - 3, ""), COLUMN() - 2)), "")</f>
        <v/>
      </c>
      <c r="D21" t="str">
        <v/>
      </c>
      <c r="E21" t="str">
        <v/>
      </c>
      <c r="F21" t="str">
        <v>Fentanyl</v>
      </c>
      <c r="G21" t="str">
        <v/>
      </c>
      <c r="H21" t="str">
        <v/>
      </c>
      <c r="I21" t="str">
        <v/>
      </c>
      <c r="J21" t="str">
        <v/>
      </c>
    </row>
    <row r="22" spans="1:10" x14ac:dyDescent="0.2">
      <c r="A22" t="str">
        <f>Table1[Invoice + Item]</f>
        <v>9562-2A</v>
      </c>
      <c r="B22" t="str">
        <f t="shared" si="0"/>
        <v>Fentanyl</v>
      </c>
      <c r="C22" t="str">
        <f t="array" ref="C22:J22">IFERROR(INDEX(Table1[Fentanyl and Analogs], SMALL(IF($A22 =Table1[Invoice + Item], ROW(Table1[Fentanyl and Analogs]) - 3, ""), COLUMN() - 2)), "")</f>
        <v/>
      </c>
      <c r="D22" t="str">
        <v/>
      </c>
      <c r="E22" t="str">
        <v/>
      </c>
      <c r="F22" t="str">
        <v>Fentanyl</v>
      </c>
      <c r="G22" t="str">
        <v/>
      </c>
      <c r="H22" t="str">
        <v/>
      </c>
      <c r="I22" t="str">
        <v/>
      </c>
      <c r="J22" t="str">
        <v/>
      </c>
    </row>
    <row r="23" spans="1:10" x14ac:dyDescent="0.2">
      <c r="A23" t="str">
        <f>Table1[Invoice + Item]</f>
        <v>8191-12</v>
      </c>
      <c r="B23" t="str">
        <f t="shared" si="0"/>
        <v/>
      </c>
      <c r="C23" t="str">
        <f t="array" ref="C23:J23">IFERROR(INDEX(Table1[Fentanyl and Analogs], SMALL(IF($A23 =Table1[Invoice + Item], ROW(Table1[Fentanyl and Analogs]) - 3, ""), COLUMN() - 2)), "")</f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</row>
    <row r="24" spans="1:10" x14ac:dyDescent="0.2">
      <c r="A24" t="str">
        <f>Table1[Invoice + Item]</f>
        <v>9496-1</v>
      </c>
      <c r="B24" t="str">
        <f t="shared" si="0"/>
        <v/>
      </c>
      <c r="C24" t="str">
        <f t="array" ref="C24:J24">IFERROR(INDEX(Table1[Fentanyl and Analogs], SMALL(IF($A24 =Table1[Invoice + Item], ROW(Table1[Fentanyl and Analogs]) - 3, ""), COLUMN() - 2)), "")</f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</row>
    <row r="25" spans="1:10" x14ac:dyDescent="0.2">
      <c r="A25" t="str">
        <f>Table1[Invoice + Item]</f>
        <v>9496-1</v>
      </c>
      <c r="B25" t="str">
        <f t="shared" si="0"/>
        <v/>
      </c>
      <c r="C25" t="str">
        <f t="array" ref="C25:J25">IFERROR(INDEX(Table1[Fentanyl and Analogs], SMALL(IF($A25 =Table1[Invoice + Item], ROW(Table1[Fentanyl and Analogs]) - 3, ""), COLUMN() - 2)), "")</f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</row>
    <row r="26" spans="1:10" x14ac:dyDescent="0.2">
      <c r="A26" t="str">
        <f>Table1[Invoice + Item]</f>
        <v>0396-1</v>
      </c>
      <c r="B26" t="str">
        <f t="shared" si="0"/>
        <v/>
      </c>
      <c r="C26" t="str">
        <f t="array" ref="C26:J26">IFERROR(INDEX(Table1[Fentanyl and Analogs], SMALL(IF($A26 =Table1[Invoice + Item], ROW(Table1[Fentanyl and Analogs]) - 3, ""), COLUMN() - 2)), "")</f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</row>
    <row r="27" spans="1:10" x14ac:dyDescent="0.2">
      <c r="A27" t="str">
        <f>Table1[Invoice + Item]</f>
        <v>7744-1</v>
      </c>
      <c r="B27" t="str">
        <f t="shared" si="0"/>
        <v/>
      </c>
      <c r="C27" t="str">
        <f t="array" ref="C27:J27">IFERROR(INDEX(Table1[Fentanyl and Analogs], SMALL(IF($A27 =Table1[Invoice + Item], ROW(Table1[Fentanyl and Analogs]) - 3, ""), COLUMN() - 2)), "")</f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</row>
    <row r="28" spans="1:10" x14ac:dyDescent="0.2">
      <c r="A28" t="str">
        <f>Table1[Invoice + Item]</f>
        <v>7744-2</v>
      </c>
      <c r="B28" t="str">
        <f t="shared" si="0"/>
        <v/>
      </c>
      <c r="C28" t="str">
        <f t="array" ref="C28:J28">IFERROR(INDEX(Table1[Fentanyl and Analogs], SMALL(IF($A28 =Table1[Invoice + Item], ROW(Table1[Fentanyl and Analogs]) - 3, ""), COLUMN() - 2)), "")</f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</row>
    <row r="29" spans="1:10" x14ac:dyDescent="0.2">
      <c r="A29" t="str">
        <f>Table1[Invoice + Item]</f>
        <v>9589-1A</v>
      </c>
      <c r="B29" t="str">
        <f t="shared" si="0"/>
        <v/>
      </c>
      <c r="C29" t="str">
        <f t="array" ref="C29:J29">IFERROR(INDEX(Table1[Fentanyl and Analogs], SMALL(IF($A29 =Table1[Invoice + Item], ROW(Table1[Fentanyl and Analogs]) - 3, ""), COLUMN() - 2)), "")</f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</row>
    <row r="30" spans="1:10" x14ac:dyDescent="0.2">
      <c r="A30" t="str">
        <f>Table1[Invoice + Item]</f>
        <v>9589-1A</v>
      </c>
      <c r="B30" t="str">
        <f t="shared" si="0"/>
        <v/>
      </c>
      <c r="C30" t="str">
        <f t="array" ref="C30:J30">IFERROR(INDEX(Table1[Fentanyl and Analogs], SMALL(IF($A30 =Table1[Invoice + Item], ROW(Table1[Fentanyl and Analogs]) - 3, ""), COLUMN() - 2)), "")</f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</row>
    <row r="31" spans="1:10" x14ac:dyDescent="0.2">
      <c r="A31" t="str">
        <f>Table1[Invoice + Item]</f>
        <v>8089-1</v>
      </c>
      <c r="B31" t="str">
        <f t="shared" si="0"/>
        <v/>
      </c>
      <c r="C31" t="str">
        <f t="array" ref="C31:J31">IFERROR(INDEX(Table1[Fentanyl and Analogs], SMALL(IF($A31 =Table1[Invoice + Item], ROW(Table1[Fentanyl and Analogs]) - 3, ""), COLUMN() - 2)), "")</f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</row>
    <row r="32" spans="1:10" x14ac:dyDescent="0.2">
      <c r="A32" t="str">
        <f>Table1[Invoice + Item]</f>
        <v>8089-2</v>
      </c>
      <c r="B32" t="str">
        <f t="shared" si="0"/>
        <v/>
      </c>
      <c r="C32" t="str">
        <f t="array" ref="C32:J32">IFERROR(INDEX(Table1[Fentanyl and Analogs], SMALL(IF($A32 =Table1[Invoice + Item], ROW(Table1[Fentanyl and Analogs]) - 3, ""), COLUMN() - 2)), "")</f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</row>
    <row r="33" spans="1:10" x14ac:dyDescent="0.2">
      <c r="A33" t="str">
        <f>Table1[Invoice + Item]</f>
        <v>8718-1</v>
      </c>
      <c r="B33" t="str">
        <f t="shared" si="0"/>
        <v/>
      </c>
      <c r="C33" t="str">
        <f t="array" ref="C33:J33">IFERROR(INDEX(Table1[Fentanyl and Analogs], SMALL(IF($A33 =Table1[Invoice + Item], ROW(Table1[Fentanyl and Analogs]) - 3, ""), COLUMN() - 2)), "")</f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</row>
    <row r="34" spans="1:10" x14ac:dyDescent="0.2">
      <c r="A34" t="str">
        <f>Table1[Invoice + Item]</f>
        <v>8896-14</v>
      </c>
      <c r="B34" t="str">
        <f t="shared" si="0"/>
        <v/>
      </c>
      <c r="C34" t="str">
        <f t="array" ref="C34:J34">IFERROR(INDEX(Table1[Fentanyl and Analogs], SMALL(IF($A34 =Table1[Invoice + Item], ROW(Table1[Fentanyl and Analogs]) - 3, ""), COLUMN() - 2)), "")</f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</row>
    <row r="35" spans="1:10" x14ac:dyDescent="0.2">
      <c r="A35" t="str">
        <f>Table1[Invoice + Item]</f>
        <v>8896-5A</v>
      </c>
      <c r="B35" t="str">
        <f t="shared" si="0"/>
        <v/>
      </c>
      <c r="C35" t="str">
        <f t="array" ref="C35:J35">IFERROR(INDEX(Table1[Fentanyl and Analogs], SMALL(IF($A35 =Table1[Invoice + Item], ROW(Table1[Fentanyl and Analogs]) - 3, ""), COLUMN() - 2)), "")</f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</row>
    <row r="36" spans="1:10" x14ac:dyDescent="0.2">
      <c r="A36" t="str">
        <f>Table1[Invoice + Item]</f>
        <v>8896-7</v>
      </c>
      <c r="B36" t="str">
        <f t="shared" si="0"/>
        <v/>
      </c>
      <c r="C36" t="str">
        <f t="array" ref="C36:J36">IFERROR(INDEX(Table1[Fentanyl and Analogs], SMALL(IF($A36 =Table1[Invoice + Item], ROW(Table1[Fentanyl and Analogs]) - 3, ""), COLUMN() - 2)), "")</f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</row>
    <row r="37" spans="1:10" x14ac:dyDescent="0.2">
      <c r="A37" t="str">
        <f>Table1[Invoice + Item]</f>
        <v>9893-1</v>
      </c>
      <c r="B37" t="str">
        <f t="shared" si="0"/>
        <v>Fentanyl</v>
      </c>
      <c r="C37" t="str">
        <f t="array" ref="C37:J37">IFERROR(INDEX(Table1[Fentanyl and Analogs], SMALL(IF($A37 =Table1[Invoice + Item], ROW(Table1[Fentanyl and Analogs]) - 3, ""), COLUMN() - 2)), "")</f>
        <v/>
      </c>
      <c r="D37" t="str">
        <v>Fentanyl</v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</row>
    <row r="38" spans="1:10" x14ac:dyDescent="0.2">
      <c r="A38" t="str">
        <f>Table1[Invoice + Item]</f>
        <v>9893-1</v>
      </c>
      <c r="B38" t="str">
        <f t="shared" si="0"/>
        <v>Fentanyl</v>
      </c>
      <c r="C38" t="str">
        <f t="array" ref="C38:J38">IFERROR(INDEX(Table1[Fentanyl and Analogs], SMALL(IF($A38 =Table1[Invoice + Item], ROW(Table1[Fentanyl and Analogs]) - 3, ""), COLUMN() - 2)), "")</f>
        <v/>
      </c>
      <c r="D38" t="str">
        <v>Fentanyl</v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</row>
    <row r="39" spans="1:10" x14ac:dyDescent="0.2">
      <c r="A39" t="str">
        <f>Table1[Invoice + Item]</f>
        <v>0303-1</v>
      </c>
      <c r="B39" t="str">
        <f t="shared" si="0"/>
        <v/>
      </c>
      <c r="C39" t="str">
        <f t="array" ref="C39:J39">IFERROR(INDEX(Table1[Fentanyl and Analogs], SMALL(IF($A39 =Table1[Invoice + Item], ROW(Table1[Fentanyl and Analogs]) - 3, ""), COLUMN() - 2)), "")</f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</row>
    <row r="40" spans="1:10" x14ac:dyDescent="0.2">
      <c r="A40" t="str">
        <f>Table1[Invoice + Item]</f>
        <v>0303-2A</v>
      </c>
      <c r="B40" t="str">
        <f t="shared" si="0"/>
        <v/>
      </c>
      <c r="C40" t="str">
        <f t="array" ref="C40:J40">IFERROR(INDEX(Table1[Fentanyl and Analogs], SMALL(IF($A40 =Table1[Invoice + Item], ROW(Table1[Fentanyl and Analogs]) - 3, ""), COLUMN() - 2)), "")</f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</row>
    <row r="41" spans="1:10" x14ac:dyDescent="0.2">
      <c r="A41" t="str">
        <f>Table1[Invoice + Item]</f>
        <v>0303-2A</v>
      </c>
      <c r="B41" t="str">
        <f t="shared" si="0"/>
        <v/>
      </c>
      <c r="C41" t="str">
        <f t="array" ref="C41:J41">IFERROR(INDEX(Table1[Fentanyl and Analogs], SMALL(IF($A41 =Table1[Invoice + Item], ROW(Table1[Fentanyl and Analogs]) - 3, ""), COLUMN() - 2)), "")</f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</row>
    <row r="42" spans="1:10" x14ac:dyDescent="0.2">
      <c r="A42" t="str">
        <f>Table1[Invoice + Item]</f>
        <v>0303-2B</v>
      </c>
      <c r="B42" t="str">
        <f t="shared" si="0"/>
        <v>Fentanyl</v>
      </c>
      <c r="C42" t="str">
        <f t="array" ref="C42:J42">IFERROR(INDEX(Table1[Fentanyl and Analogs], SMALL(IF($A42 =Table1[Invoice + Item], ROW(Table1[Fentanyl and Analogs]) - 3, ""), COLUMN() - 2)), "")</f>
        <v/>
      </c>
      <c r="D42" t="str">
        <v/>
      </c>
      <c r="E42" t="str">
        <v/>
      </c>
      <c r="F42" t="str">
        <v>Fentanyl</v>
      </c>
      <c r="G42" t="str">
        <v/>
      </c>
      <c r="H42" t="str">
        <v/>
      </c>
      <c r="I42" t="str">
        <v/>
      </c>
      <c r="J42" t="str">
        <v/>
      </c>
    </row>
    <row r="43" spans="1:10" x14ac:dyDescent="0.2">
      <c r="A43" t="str">
        <f>Table1[Invoice + Item]</f>
        <v>0303-2B</v>
      </c>
      <c r="B43" t="str">
        <f t="shared" si="0"/>
        <v>Fentanyl</v>
      </c>
      <c r="C43" t="str">
        <f t="array" ref="C43:J43">IFERROR(INDEX(Table1[Fentanyl and Analogs], SMALL(IF($A43 =Table1[Invoice + Item], ROW(Table1[Fentanyl and Analogs]) - 3, ""), COLUMN() - 2)), "")</f>
        <v/>
      </c>
      <c r="D43" t="str">
        <v/>
      </c>
      <c r="E43" t="str">
        <v/>
      </c>
      <c r="F43" t="str">
        <v>Fentanyl</v>
      </c>
      <c r="G43" t="str">
        <v/>
      </c>
      <c r="H43" t="str">
        <v/>
      </c>
      <c r="I43" t="str">
        <v/>
      </c>
      <c r="J43" t="str">
        <v/>
      </c>
    </row>
    <row r="44" spans="1:10" x14ac:dyDescent="0.2">
      <c r="A44" t="str">
        <f>Table1[Invoice + Item]</f>
        <v>0303-2B</v>
      </c>
      <c r="B44" t="str">
        <f t="shared" si="0"/>
        <v>Fentanyl</v>
      </c>
      <c r="C44" t="str">
        <f t="array" ref="C44:J44">IFERROR(INDEX(Table1[Fentanyl and Analogs], SMALL(IF($A44 =Table1[Invoice + Item], ROW(Table1[Fentanyl and Analogs]) - 3, ""), COLUMN() - 2)), "")</f>
        <v/>
      </c>
      <c r="D44" t="str">
        <v/>
      </c>
      <c r="E44" t="str">
        <v/>
      </c>
      <c r="F44" t="str">
        <v>Fentanyl</v>
      </c>
      <c r="G44" t="str">
        <v/>
      </c>
      <c r="H44" t="str">
        <v/>
      </c>
      <c r="I44" t="str">
        <v/>
      </c>
      <c r="J44" t="str">
        <v/>
      </c>
    </row>
    <row r="45" spans="1:10" x14ac:dyDescent="0.2">
      <c r="A45" t="str">
        <f>Table1[Invoice + Item]</f>
        <v>0303-2B</v>
      </c>
      <c r="B45" t="str">
        <f t="shared" si="0"/>
        <v>Fentanyl</v>
      </c>
      <c r="C45" t="str">
        <f t="array" ref="C45:J45">IFERROR(INDEX(Table1[Fentanyl and Analogs], SMALL(IF($A45 =Table1[Invoice + Item], ROW(Table1[Fentanyl and Analogs]) - 3, ""), COLUMN() - 2)), "")</f>
        <v/>
      </c>
      <c r="D45" t="str">
        <v/>
      </c>
      <c r="E45" t="str">
        <v/>
      </c>
      <c r="F45" t="str">
        <v>Fentanyl</v>
      </c>
      <c r="G45" t="str">
        <v/>
      </c>
      <c r="H45" t="str">
        <v/>
      </c>
      <c r="I45" t="str">
        <v/>
      </c>
      <c r="J45" t="str">
        <v/>
      </c>
    </row>
  </sheetData>
  <conditionalFormatting sqref="A3">
    <cfRule type="duplicateValues" dxfId="14" priority="1" stopIfTrue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7"/>
  <sheetViews>
    <sheetView topLeftCell="A13" workbookViewId="0">
      <selection activeCell="B50" sqref="B50"/>
    </sheetView>
  </sheetViews>
  <sheetFormatPr defaultRowHeight="12.75" x14ac:dyDescent="0.2"/>
  <cols>
    <col min="1" max="1" width="28.42578125" bestFit="1" customWidth="1"/>
    <col min="2" max="2" width="57.85546875" bestFit="1" customWidth="1"/>
    <col min="3" max="3" width="21.5703125" bestFit="1" customWidth="1"/>
    <col min="4" max="4" width="16.42578125" bestFit="1" customWidth="1"/>
    <col min="5" max="6" width="23.85546875" bestFit="1" customWidth="1"/>
    <col min="7" max="10" width="5.28515625" bestFit="1" customWidth="1"/>
  </cols>
  <sheetData>
    <row r="1" spans="1:10" x14ac:dyDescent="0.2">
      <c r="A1" s="32" t="s">
        <v>69</v>
      </c>
      <c r="B1" s="32"/>
    </row>
    <row r="2" spans="1:10" x14ac:dyDescent="0.2">
      <c r="A2" s="32" t="s">
        <v>68</v>
      </c>
      <c r="B2" s="32"/>
    </row>
    <row r="3" spans="1:10" x14ac:dyDescent="0.2">
      <c r="A3" s="2" t="s">
        <v>43</v>
      </c>
      <c r="B3" s="5" t="s">
        <v>46</v>
      </c>
      <c r="C3" s="4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</row>
    <row r="4" spans="1:10" x14ac:dyDescent="0.2">
      <c r="A4" s="13" t="str">
        <f>Table1[Invoice + Item]</f>
        <v>0277-1</v>
      </c>
      <c r="B4" t="str">
        <f t="shared" ref="B4:B45" si="0">MyConcat(C4:J4)</f>
        <v/>
      </c>
      <c r="C4" s="6">
        <f t="array" ref="C4:J4">IFERROR(INDEX(Table1[Forensic Intelligence Substances], SMALL(IF($A4 =Table1[Invoice + Item], ROW(Table1[Forensic Intelligence Substances]) - 3, ""), COLUMN() - 2)), "")</f>
        <v>0</v>
      </c>
      <c r="D4" s="6" t="str">
        <v/>
      </c>
      <c r="E4" s="6" t="str">
        <v/>
      </c>
      <c r="F4" s="6" t="str">
        <v/>
      </c>
      <c r="G4" s="6" t="str">
        <v/>
      </c>
      <c r="H4" s="6" t="str">
        <v/>
      </c>
      <c r="I4" s="6" t="str">
        <v/>
      </c>
      <c r="J4" s="6" t="str">
        <v/>
      </c>
    </row>
    <row r="5" spans="1:10" x14ac:dyDescent="0.2">
      <c r="A5" s="13" t="str">
        <f>Table1[Invoice + Item]</f>
        <v>8197-4A</v>
      </c>
      <c r="B5" t="str">
        <f t="shared" si="0"/>
        <v/>
      </c>
      <c r="C5" s="6">
        <f t="array" ref="C5:J5">IFERROR(INDEX(Table1[Forensic Intelligence Substances], SMALL(IF($A5 =Table1[Invoice + Item], ROW(Table1[Forensic Intelligence Substances]) - 3, ""), COLUMN() - 2)), "")</f>
        <v>0</v>
      </c>
      <c r="D5" s="6">
        <v>0</v>
      </c>
      <c r="E5" s="6" t="str">
        <v/>
      </c>
      <c r="F5" s="6" t="str">
        <v/>
      </c>
      <c r="G5" s="6" t="str">
        <v/>
      </c>
      <c r="H5" s="6" t="str">
        <v/>
      </c>
      <c r="I5" s="6" t="str">
        <v/>
      </c>
      <c r="J5" s="6" t="str">
        <v/>
      </c>
    </row>
    <row r="6" spans="1:10" x14ac:dyDescent="0.2">
      <c r="A6" s="13" t="str">
        <f>Table1[Invoice + Item]</f>
        <v>8197-4A</v>
      </c>
      <c r="B6" t="str">
        <f t="shared" si="0"/>
        <v/>
      </c>
      <c r="C6" s="6">
        <f t="array" ref="C6:J6">IFERROR(INDEX(Table1[Forensic Intelligence Substances], SMALL(IF($A6 =Table1[Invoice + Item], ROW(Table1[Forensic Intelligence Substances]) - 3, ""), COLUMN() - 2)), "")</f>
        <v>0</v>
      </c>
      <c r="D6" s="6">
        <v>0</v>
      </c>
      <c r="E6" s="6" t="str">
        <v/>
      </c>
      <c r="F6" s="6" t="str">
        <v/>
      </c>
      <c r="G6" s="6" t="str">
        <v/>
      </c>
      <c r="H6" s="6" t="str">
        <v/>
      </c>
      <c r="I6" s="6" t="str">
        <v/>
      </c>
      <c r="J6" s="6" t="str">
        <v/>
      </c>
    </row>
    <row r="7" spans="1:10" x14ac:dyDescent="0.2">
      <c r="A7" s="13" t="str">
        <f>Table1[Invoice + Item]</f>
        <v>8197-4B</v>
      </c>
      <c r="B7" t="str">
        <f t="shared" si="0"/>
        <v>Methoxyacetyl fentanyl</v>
      </c>
      <c r="C7" s="6">
        <f t="array" ref="C7:J7">IFERROR(INDEX(Table1[Forensic Intelligence Substances], SMALL(IF($A7 =Table1[Invoice + Item], ROW(Table1[Forensic Intelligence Substances]) - 3, ""), COLUMN() - 2)), "")</f>
        <v>0</v>
      </c>
      <c r="D7" s="6">
        <v>0</v>
      </c>
      <c r="E7" s="6">
        <v>0</v>
      </c>
      <c r="F7" s="6" t="str">
        <v>Methoxyacetyl fentanyl</v>
      </c>
      <c r="G7" s="6" t="str">
        <v/>
      </c>
      <c r="H7" s="6" t="str">
        <v/>
      </c>
      <c r="I7" s="6" t="str">
        <v/>
      </c>
      <c r="J7" s="6" t="str">
        <v/>
      </c>
    </row>
    <row r="8" spans="1:10" x14ac:dyDescent="0.2">
      <c r="A8" s="13" t="str">
        <f>Table1[Invoice + Item]</f>
        <v>8197-4B</v>
      </c>
      <c r="B8" t="str">
        <f t="shared" si="0"/>
        <v>Methoxyacetyl fentanyl</v>
      </c>
      <c r="C8" s="6">
        <f t="array" ref="C8:J8">IFERROR(INDEX(Table1[Forensic Intelligence Substances], SMALL(IF($A8 =Table1[Invoice + Item], ROW(Table1[Forensic Intelligence Substances]) - 3, ""), COLUMN() - 2)), "")</f>
        <v>0</v>
      </c>
      <c r="D8" s="6">
        <v>0</v>
      </c>
      <c r="E8" s="6">
        <v>0</v>
      </c>
      <c r="F8" s="6" t="str">
        <v>Methoxyacetyl fentanyl</v>
      </c>
      <c r="G8" s="6" t="str">
        <v/>
      </c>
      <c r="H8" s="6" t="str">
        <v/>
      </c>
      <c r="I8" s="6" t="str">
        <v/>
      </c>
      <c r="J8" s="6" t="str">
        <v/>
      </c>
    </row>
    <row r="9" spans="1:10" x14ac:dyDescent="0.2">
      <c r="A9" s="13" t="str">
        <f>Table1[Invoice + Item]</f>
        <v>8197-4B</v>
      </c>
      <c r="B9" t="str">
        <f t="shared" si="0"/>
        <v>Methoxyacetyl fentanyl</v>
      </c>
      <c r="C9" s="6">
        <f t="array" ref="C9:J9">IFERROR(INDEX(Table1[Forensic Intelligence Substances], SMALL(IF($A9 =Table1[Invoice + Item], ROW(Table1[Forensic Intelligence Substances]) - 3, ""), COLUMN() - 2)), "")</f>
        <v>0</v>
      </c>
      <c r="D9" s="6">
        <v>0</v>
      </c>
      <c r="E9" s="6">
        <v>0</v>
      </c>
      <c r="F9" s="6" t="str">
        <v>Methoxyacetyl fentanyl</v>
      </c>
      <c r="G9" s="6" t="str">
        <v/>
      </c>
      <c r="H9" s="6" t="str">
        <v/>
      </c>
      <c r="I9" s="6" t="str">
        <v/>
      </c>
      <c r="J9" s="6" t="str">
        <v/>
      </c>
    </row>
    <row r="10" spans="1:10" x14ac:dyDescent="0.2">
      <c r="A10" s="13" t="str">
        <f>Table1[Invoice + Item]</f>
        <v>8197-4B</v>
      </c>
      <c r="B10" t="str">
        <f t="shared" si="0"/>
        <v>Methoxyacetyl fentanyl</v>
      </c>
      <c r="C10" s="6">
        <f t="array" ref="C10:J10">IFERROR(INDEX(Table1[Forensic Intelligence Substances], SMALL(IF($A10 =Table1[Invoice + Item], ROW(Table1[Forensic Intelligence Substances]) - 3, ""), COLUMN() - 2)), "")</f>
        <v>0</v>
      </c>
      <c r="D10" s="6">
        <v>0</v>
      </c>
      <c r="E10" s="6">
        <v>0</v>
      </c>
      <c r="F10" s="6" t="str">
        <v>Methoxyacetyl fentanyl</v>
      </c>
      <c r="G10" s="6" t="str">
        <v/>
      </c>
      <c r="H10" s="6" t="str">
        <v/>
      </c>
      <c r="I10" s="6" t="str">
        <v/>
      </c>
      <c r="J10" s="6" t="str">
        <v/>
      </c>
    </row>
    <row r="11" spans="1:10" x14ac:dyDescent="0.2">
      <c r="A11" s="13" t="str">
        <f>Table1[Invoice + Item]</f>
        <v>8199-1</v>
      </c>
      <c r="B11" t="str">
        <f t="shared" si="0"/>
        <v/>
      </c>
      <c r="C11" s="6">
        <f t="array" ref="C11:J11">IFERROR(INDEX(Table1[Forensic Intelligence Substances], SMALL(IF($A11 =Table1[Invoice + Item], ROW(Table1[Forensic Intelligence Substances]) - 3, ""), COLUMN() - 2)), "")</f>
        <v>0</v>
      </c>
      <c r="D11" s="6">
        <v>0</v>
      </c>
      <c r="E11" s="6" t="str">
        <v/>
      </c>
      <c r="F11" s="6" t="str">
        <v/>
      </c>
      <c r="G11" s="6" t="str">
        <v/>
      </c>
      <c r="H11" s="6" t="str">
        <v/>
      </c>
      <c r="I11" s="6" t="str">
        <v/>
      </c>
      <c r="J11" s="6" t="str">
        <v/>
      </c>
    </row>
    <row r="12" spans="1:10" x14ac:dyDescent="0.2">
      <c r="A12" s="13" t="str">
        <f>Table1[Invoice + Item]</f>
        <v>8199-1</v>
      </c>
      <c r="B12" t="str">
        <f t="shared" si="0"/>
        <v/>
      </c>
      <c r="C12" s="6">
        <f t="array" ref="C12:J12">IFERROR(INDEX(Table1[Forensic Intelligence Substances], SMALL(IF($A12 =Table1[Invoice + Item], ROW(Table1[Forensic Intelligence Substances]) - 3, ""), COLUMN() - 2)), "")</f>
        <v>0</v>
      </c>
      <c r="D12" s="6">
        <v>0</v>
      </c>
      <c r="E12" s="6" t="str">
        <v/>
      </c>
      <c r="F12" s="6" t="str">
        <v/>
      </c>
      <c r="G12" s="6" t="str">
        <v/>
      </c>
      <c r="H12" s="6" t="str">
        <v/>
      </c>
      <c r="I12" s="6" t="str">
        <v/>
      </c>
      <c r="J12" s="6" t="str">
        <v/>
      </c>
    </row>
    <row r="13" spans="1:10" x14ac:dyDescent="0.2">
      <c r="A13" s="13" t="str">
        <f>Table1[Invoice + Item]</f>
        <v>8199-3A</v>
      </c>
      <c r="B13" t="str">
        <f t="shared" si="0"/>
        <v/>
      </c>
      <c r="C13" s="6">
        <f t="array" ref="C13:J13">IFERROR(INDEX(Table1[Forensic Intelligence Substances], SMALL(IF($A13 =Table1[Invoice + Item], ROW(Table1[Forensic Intelligence Substances]) - 3, ""), COLUMN() - 2)), "")</f>
        <v>0</v>
      </c>
      <c r="D13" s="6">
        <v>0</v>
      </c>
      <c r="E13" s="6" t="str">
        <v/>
      </c>
      <c r="F13" s="6" t="str">
        <v/>
      </c>
      <c r="G13" s="6" t="str">
        <v/>
      </c>
      <c r="H13" s="6" t="str">
        <v/>
      </c>
      <c r="I13" s="6" t="str">
        <v/>
      </c>
      <c r="J13" s="6" t="str">
        <v/>
      </c>
    </row>
    <row r="14" spans="1:10" x14ac:dyDescent="0.2">
      <c r="A14" s="13" t="str">
        <f>Table1[Invoice + Item]</f>
        <v>8199-3A</v>
      </c>
      <c r="B14" t="str">
        <f t="shared" si="0"/>
        <v/>
      </c>
      <c r="C14" s="6">
        <f t="array" ref="C14:J14">IFERROR(INDEX(Table1[Forensic Intelligence Substances], SMALL(IF($A14 =Table1[Invoice + Item], ROW(Table1[Forensic Intelligence Substances]) - 3, ""), COLUMN() - 2)), "")</f>
        <v>0</v>
      </c>
      <c r="D14" s="6">
        <v>0</v>
      </c>
      <c r="E14" s="6" t="str">
        <v/>
      </c>
      <c r="F14" s="6" t="str">
        <v/>
      </c>
      <c r="G14" s="6" t="str">
        <v/>
      </c>
      <c r="H14" s="6" t="str">
        <v/>
      </c>
      <c r="I14" s="6" t="str">
        <v/>
      </c>
      <c r="J14" s="6" t="str">
        <v/>
      </c>
    </row>
    <row r="15" spans="1:10" x14ac:dyDescent="0.2">
      <c r="A15" s="13" t="str">
        <f>Table1[Invoice + Item]</f>
        <v>9562-1A</v>
      </c>
      <c r="B15" t="str">
        <f t="shared" si="0"/>
        <v/>
      </c>
      <c r="C15" s="6">
        <f t="array" ref="C15:J15">IFERROR(INDEX(Table1[Forensic Intelligence Substances], SMALL(IF($A15 =Table1[Invoice + Item], ROW(Table1[Forensic Intelligence Substances]) - 3, ""), COLUMN() - 2)), "")</f>
        <v>0</v>
      </c>
      <c r="D15" s="6">
        <v>0</v>
      </c>
      <c r="E15" s="6">
        <v>0</v>
      </c>
      <c r="F15" s="6">
        <v>0</v>
      </c>
      <c r="G15" s="6" t="str">
        <v/>
      </c>
      <c r="H15" s="6" t="str">
        <v/>
      </c>
      <c r="I15" s="6" t="str">
        <v/>
      </c>
      <c r="J15" s="6" t="str">
        <v/>
      </c>
    </row>
    <row r="16" spans="1:10" x14ac:dyDescent="0.2">
      <c r="A16" s="13" t="str">
        <f>Table1[Invoice + Item]</f>
        <v>9562-1A</v>
      </c>
      <c r="B16" t="str">
        <f t="shared" si="0"/>
        <v/>
      </c>
      <c r="C16" s="6">
        <f t="array" ref="C16:J16">IFERROR(INDEX(Table1[Forensic Intelligence Substances], SMALL(IF($A16 =Table1[Invoice + Item], ROW(Table1[Forensic Intelligence Substances]) - 3, ""), COLUMN() - 2)), "")</f>
        <v>0</v>
      </c>
      <c r="D16" s="6">
        <v>0</v>
      </c>
      <c r="E16" s="6">
        <v>0</v>
      </c>
      <c r="F16" s="6">
        <v>0</v>
      </c>
      <c r="G16" s="6" t="str">
        <v/>
      </c>
      <c r="H16" s="6" t="str">
        <v/>
      </c>
      <c r="I16" s="6" t="str">
        <v/>
      </c>
      <c r="J16" s="6" t="str">
        <v/>
      </c>
    </row>
    <row r="17" spans="1:10" x14ac:dyDescent="0.2">
      <c r="A17" s="13" t="str">
        <f>Table1[Invoice + Item]</f>
        <v>9562-1A</v>
      </c>
      <c r="B17" t="str">
        <f t="shared" si="0"/>
        <v/>
      </c>
      <c r="C17" s="6">
        <f t="array" ref="C17:J17">IFERROR(INDEX(Table1[Forensic Intelligence Substances], SMALL(IF($A17 =Table1[Invoice + Item], ROW(Table1[Forensic Intelligence Substances]) - 3, ""), COLUMN() - 2)), "")</f>
        <v>0</v>
      </c>
      <c r="D17" s="6">
        <v>0</v>
      </c>
      <c r="E17" s="6">
        <v>0</v>
      </c>
      <c r="F17" s="6">
        <v>0</v>
      </c>
      <c r="G17" s="6" t="str">
        <v/>
      </c>
      <c r="H17" s="6" t="str">
        <v/>
      </c>
      <c r="I17" s="6" t="str">
        <v/>
      </c>
      <c r="J17" s="6" t="str">
        <v/>
      </c>
    </row>
    <row r="18" spans="1:10" x14ac:dyDescent="0.2">
      <c r="A18" s="13" t="str">
        <f>Table1[Invoice + Item]</f>
        <v>9562-1A</v>
      </c>
      <c r="B18" t="str">
        <f t="shared" si="0"/>
        <v/>
      </c>
      <c r="C18" s="6">
        <f t="array" ref="C18:J18">IFERROR(INDEX(Table1[Forensic Intelligence Substances], SMALL(IF($A18 =Table1[Invoice + Item], ROW(Table1[Forensic Intelligence Substances]) - 3, ""), COLUMN() - 2)), "")</f>
        <v>0</v>
      </c>
      <c r="D18" s="6">
        <v>0</v>
      </c>
      <c r="E18" s="6">
        <v>0</v>
      </c>
      <c r="F18" s="6">
        <v>0</v>
      </c>
      <c r="G18" s="6" t="str">
        <v/>
      </c>
      <c r="H18" s="6" t="str">
        <v/>
      </c>
      <c r="I18" s="6" t="str">
        <v/>
      </c>
      <c r="J18" s="6" t="str">
        <v/>
      </c>
    </row>
    <row r="19" spans="1:10" x14ac:dyDescent="0.2">
      <c r="A19" s="13" t="str">
        <f>Table1[Invoice + Item]</f>
        <v>9562-2A</v>
      </c>
      <c r="B19" t="str">
        <f t="shared" si="0"/>
        <v/>
      </c>
      <c r="C19" s="6">
        <f t="array" ref="C19:J19">IFERROR(INDEX(Table1[Forensic Intelligence Substances], SMALL(IF($A19 =Table1[Invoice + Item], ROW(Table1[Forensic Intelligence Substances]) - 3, ""), COLUMN() - 2)), "")</f>
        <v>0</v>
      </c>
      <c r="D19" s="6">
        <v>0</v>
      </c>
      <c r="E19" s="6">
        <v>0</v>
      </c>
      <c r="F19" s="6">
        <v>0</v>
      </c>
      <c r="G19" s="6" t="str">
        <v/>
      </c>
      <c r="H19" s="6" t="str">
        <v/>
      </c>
      <c r="I19" s="6" t="str">
        <v/>
      </c>
      <c r="J19" s="6" t="str">
        <v/>
      </c>
    </row>
    <row r="20" spans="1:10" x14ac:dyDescent="0.2">
      <c r="A20" s="13" t="str">
        <f>Table1[Invoice + Item]</f>
        <v>9562-2A</v>
      </c>
      <c r="B20" t="str">
        <f t="shared" si="0"/>
        <v/>
      </c>
      <c r="C20" s="6">
        <f t="array" ref="C20:J20">IFERROR(INDEX(Table1[Forensic Intelligence Substances], SMALL(IF($A20 =Table1[Invoice + Item], ROW(Table1[Forensic Intelligence Substances]) - 3, ""), COLUMN() - 2)), "")</f>
        <v>0</v>
      </c>
      <c r="D20" s="6">
        <v>0</v>
      </c>
      <c r="E20" s="6">
        <v>0</v>
      </c>
      <c r="F20" s="6">
        <v>0</v>
      </c>
      <c r="G20" s="6" t="str">
        <v/>
      </c>
      <c r="H20" s="6" t="str">
        <v/>
      </c>
      <c r="I20" s="6" t="str">
        <v/>
      </c>
      <c r="J20" s="6" t="str">
        <v/>
      </c>
    </row>
    <row r="21" spans="1:10" x14ac:dyDescent="0.2">
      <c r="A21" s="13" t="str">
        <f>Table1[Invoice + Item]</f>
        <v>9562-2A</v>
      </c>
      <c r="B21" t="str">
        <f t="shared" si="0"/>
        <v/>
      </c>
      <c r="C21" s="6">
        <f t="array" ref="C21:J21">IFERROR(INDEX(Table1[Forensic Intelligence Substances], SMALL(IF($A21 =Table1[Invoice + Item], ROW(Table1[Forensic Intelligence Substances]) - 3, ""), COLUMN() - 2)), "")</f>
        <v>0</v>
      </c>
      <c r="D21" s="6">
        <v>0</v>
      </c>
      <c r="E21" s="6">
        <v>0</v>
      </c>
      <c r="F21" s="6">
        <v>0</v>
      </c>
      <c r="G21" s="6" t="str">
        <v/>
      </c>
      <c r="H21" s="6" t="str">
        <v/>
      </c>
      <c r="I21" s="6" t="str">
        <v/>
      </c>
      <c r="J21" s="6" t="str">
        <v/>
      </c>
    </row>
    <row r="22" spans="1:10" x14ac:dyDescent="0.2">
      <c r="A22" s="13" t="str">
        <f>Table1[Invoice + Item]</f>
        <v>9562-2A</v>
      </c>
      <c r="B22" t="str">
        <f t="shared" si="0"/>
        <v/>
      </c>
      <c r="C22" s="6">
        <f t="array" ref="C22:J22">IFERROR(INDEX(Table1[Forensic Intelligence Substances], SMALL(IF($A22 =Table1[Invoice + Item], ROW(Table1[Forensic Intelligence Substances]) - 3, ""), COLUMN() - 2)), "")</f>
        <v>0</v>
      </c>
      <c r="D22" s="6">
        <v>0</v>
      </c>
      <c r="E22" s="6">
        <v>0</v>
      </c>
      <c r="F22" s="6">
        <v>0</v>
      </c>
      <c r="G22" s="6" t="str">
        <v/>
      </c>
      <c r="H22" s="6" t="str">
        <v/>
      </c>
      <c r="I22" s="6" t="str">
        <v/>
      </c>
      <c r="J22" s="6" t="str">
        <v/>
      </c>
    </row>
    <row r="23" spans="1:10" x14ac:dyDescent="0.2">
      <c r="A23" s="13" t="str">
        <f>Table1[Invoice + Item]</f>
        <v>8191-12</v>
      </c>
      <c r="B23" t="str">
        <f t="shared" si="0"/>
        <v/>
      </c>
      <c r="C23" s="6">
        <f t="array" ref="C23:J23">IFERROR(INDEX(Table1[Forensic Intelligence Substances], SMALL(IF($A23 =Table1[Invoice + Item], ROW(Table1[Forensic Intelligence Substances]) - 3, ""), COLUMN() - 2)), "")</f>
        <v>0</v>
      </c>
      <c r="D23" s="6" t="str">
        <v/>
      </c>
      <c r="E23" s="6" t="str">
        <v/>
      </c>
      <c r="F23" s="6" t="str">
        <v/>
      </c>
      <c r="G23" s="6" t="str">
        <v/>
      </c>
      <c r="H23" s="6" t="str">
        <v/>
      </c>
      <c r="I23" s="6" t="str">
        <v/>
      </c>
      <c r="J23" s="6" t="str">
        <v/>
      </c>
    </row>
    <row r="24" spans="1:10" x14ac:dyDescent="0.2">
      <c r="A24" s="13" t="str">
        <f>Table1[Invoice + Item]</f>
        <v>9496-1</v>
      </c>
      <c r="B24" t="str">
        <f t="shared" si="0"/>
        <v/>
      </c>
      <c r="C24" s="6">
        <f t="array" ref="C24:J24">IFERROR(INDEX(Table1[Forensic Intelligence Substances], SMALL(IF($A24 =Table1[Invoice + Item], ROW(Table1[Forensic Intelligence Substances]) - 3, ""), COLUMN() - 2)), "")</f>
        <v>0</v>
      </c>
      <c r="D24" s="6">
        <v>0</v>
      </c>
      <c r="E24" s="6" t="str">
        <v/>
      </c>
      <c r="F24" s="6" t="str">
        <v/>
      </c>
      <c r="G24" s="6" t="str">
        <v/>
      </c>
      <c r="H24" s="6" t="str">
        <v/>
      </c>
      <c r="I24" s="6" t="str">
        <v/>
      </c>
      <c r="J24" s="6" t="str">
        <v/>
      </c>
    </row>
    <row r="25" spans="1:10" x14ac:dyDescent="0.2">
      <c r="A25" s="13" t="str">
        <f>Table1[Invoice + Item]</f>
        <v>9496-1</v>
      </c>
      <c r="B25" t="str">
        <f t="shared" si="0"/>
        <v/>
      </c>
      <c r="C25" s="6">
        <f t="array" ref="C25:J25">IFERROR(INDEX(Table1[Forensic Intelligence Substances], SMALL(IF($A25 =Table1[Invoice + Item], ROW(Table1[Forensic Intelligence Substances]) - 3, ""), COLUMN() - 2)), "")</f>
        <v>0</v>
      </c>
      <c r="D25" s="6">
        <v>0</v>
      </c>
      <c r="E25" s="6" t="str">
        <v/>
      </c>
      <c r="F25" s="6" t="str">
        <v/>
      </c>
      <c r="G25" s="6" t="str">
        <v/>
      </c>
      <c r="H25" s="6" t="str">
        <v/>
      </c>
      <c r="I25" s="6" t="str">
        <v/>
      </c>
      <c r="J25" s="6" t="str">
        <v/>
      </c>
    </row>
    <row r="26" spans="1:10" x14ac:dyDescent="0.2">
      <c r="A26" s="13" t="str">
        <f>Table1[Invoice + Item]</f>
        <v>0396-1</v>
      </c>
      <c r="B26" t="str">
        <f t="shared" si="0"/>
        <v/>
      </c>
      <c r="C26" s="6">
        <f t="array" ref="C26:J26">IFERROR(INDEX(Table1[Forensic Intelligence Substances], SMALL(IF($A26 =Table1[Invoice + Item], ROW(Table1[Forensic Intelligence Substances]) - 3, ""), COLUMN() - 2)), "")</f>
        <v>0</v>
      </c>
      <c r="D26" s="6" t="str">
        <v/>
      </c>
      <c r="E26" s="6" t="str">
        <v/>
      </c>
      <c r="F26" s="6" t="str">
        <v/>
      </c>
      <c r="G26" s="6" t="str">
        <v/>
      </c>
      <c r="H26" s="6" t="str">
        <v/>
      </c>
      <c r="I26" s="6" t="str">
        <v/>
      </c>
      <c r="J26" s="6" t="str">
        <v/>
      </c>
    </row>
    <row r="27" spans="1:10" x14ac:dyDescent="0.2">
      <c r="A27" s="13" t="str">
        <f>Table1[Invoice + Item]</f>
        <v>7744-1</v>
      </c>
      <c r="B27" t="str">
        <f t="shared" si="0"/>
        <v/>
      </c>
      <c r="C27" s="6">
        <f t="array" ref="C27:J27">IFERROR(INDEX(Table1[Forensic Intelligence Substances], SMALL(IF($A27 =Table1[Invoice + Item], ROW(Table1[Forensic Intelligence Substances]) - 3, ""), COLUMN() - 2)), "")</f>
        <v>0</v>
      </c>
      <c r="D27" s="6" t="str">
        <v/>
      </c>
      <c r="E27" s="6" t="str">
        <v/>
      </c>
      <c r="F27" s="6" t="str">
        <v/>
      </c>
      <c r="G27" s="6" t="str">
        <v/>
      </c>
      <c r="H27" s="6" t="str">
        <v/>
      </c>
      <c r="I27" s="6" t="str">
        <v/>
      </c>
      <c r="J27" s="6" t="str">
        <v/>
      </c>
    </row>
    <row r="28" spans="1:10" x14ac:dyDescent="0.2">
      <c r="A28" s="13" t="str">
        <f>Table1[Invoice + Item]</f>
        <v>7744-2</v>
      </c>
      <c r="B28" t="str">
        <f t="shared" si="0"/>
        <v/>
      </c>
      <c r="C28" s="6">
        <f t="array" ref="C28:J28">IFERROR(INDEX(Table1[Forensic Intelligence Substances], SMALL(IF($A28 =Table1[Invoice + Item], ROW(Table1[Forensic Intelligence Substances]) - 3, ""), COLUMN() - 2)), "")</f>
        <v>0</v>
      </c>
      <c r="D28" s="6" t="str">
        <v/>
      </c>
      <c r="E28" s="6" t="str">
        <v/>
      </c>
      <c r="F28" s="6" t="str">
        <v/>
      </c>
      <c r="G28" s="6" t="str">
        <v/>
      </c>
      <c r="H28" s="6" t="str">
        <v/>
      </c>
      <c r="I28" s="6" t="str">
        <v/>
      </c>
      <c r="J28" s="6" t="str">
        <v/>
      </c>
    </row>
    <row r="29" spans="1:10" x14ac:dyDescent="0.2">
      <c r="A29" s="13" t="str">
        <f>Table1[Invoice + Item]</f>
        <v>9589-1A</v>
      </c>
      <c r="B29" t="str">
        <f t="shared" si="0"/>
        <v/>
      </c>
      <c r="C29" s="6">
        <f t="array" ref="C29:J29">IFERROR(INDEX(Table1[Forensic Intelligence Substances], SMALL(IF($A29 =Table1[Invoice + Item], ROW(Table1[Forensic Intelligence Substances]) - 3, ""), COLUMN() - 2)), "")</f>
        <v>0</v>
      </c>
      <c r="D29" s="6">
        <v>0</v>
      </c>
      <c r="E29" s="6" t="str">
        <v/>
      </c>
      <c r="F29" s="6" t="str">
        <v/>
      </c>
      <c r="G29" s="6" t="str">
        <v/>
      </c>
      <c r="H29" s="6" t="str">
        <v/>
      </c>
      <c r="I29" s="6" t="str">
        <v/>
      </c>
      <c r="J29" s="6" t="str">
        <v/>
      </c>
    </row>
    <row r="30" spans="1:10" x14ac:dyDescent="0.2">
      <c r="A30" s="13" t="str">
        <f>Table1[Invoice + Item]</f>
        <v>9589-1A</v>
      </c>
      <c r="B30" t="str">
        <f t="shared" si="0"/>
        <v/>
      </c>
      <c r="C30" s="6">
        <f t="array" ref="C30:J30">IFERROR(INDEX(Table1[Forensic Intelligence Substances], SMALL(IF($A30 =Table1[Invoice + Item], ROW(Table1[Forensic Intelligence Substances]) - 3, ""), COLUMN() - 2)), "")</f>
        <v>0</v>
      </c>
      <c r="D30" s="6">
        <v>0</v>
      </c>
      <c r="E30" s="6" t="str">
        <v/>
      </c>
      <c r="F30" s="6" t="str">
        <v/>
      </c>
      <c r="G30" s="6" t="str">
        <v/>
      </c>
      <c r="H30" s="6" t="str">
        <v/>
      </c>
      <c r="I30" s="6" t="str">
        <v/>
      </c>
      <c r="J30" s="6" t="str">
        <v/>
      </c>
    </row>
    <row r="31" spans="1:10" x14ac:dyDescent="0.2">
      <c r="A31" s="13" t="str">
        <f>Table1[Invoice + Item]</f>
        <v>8089-1</v>
      </c>
      <c r="B31" t="str">
        <f t="shared" si="0"/>
        <v/>
      </c>
      <c r="C31" s="6">
        <f t="array" ref="C31:J31">IFERROR(INDEX(Table1[Forensic Intelligence Substances], SMALL(IF($A31 =Table1[Invoice + Item], ROW(Table1[Forensic Intelligence Substances]) - 3, ""), COLUMN() - 2)), "")</f>
        <v>0</v>
      </c>
      <c r="D31" s="6" t="str">
        <v/>
      </c>
      <c r="E31" s="6" t="str">
        <v/>
      </c>
      <c r="F31" s="6" t="str">
        <v/>
      </c>
      <c r="G31" s="6" t="str">
        <v/>
      </c>
      <c r="H31" s="6" t="str">
        <v/>
      </c>
      <c r="I31" s="6" t="str">
        <v/>
      </c>
      <c r="J31" s="6" t="str">
        <v/>
      </c>
    </row>
    <row r="32" spans="1:10" x14ac:dyDescent="0.2">
      <c r="A32" s="13" t="str">
        <f>Table1[Invoice + Item]</f>
        <v>8089-2</v>
      </c>
      <c r="B32" t="str">
        <f t="shared" si="0"/>
        <v/>
      </c>
      <c r="C32" s="6">
        <f t="array" ref="C32:J32">IFERROR(INDEX(Table1[Forensic Intelligence Substances], SMALL(IF($A32 =Table1[Invoice + Item], ROW(Table1[Forensic Intelligence Substances]) - 3, ""), COLUMN() - 2)), "")</f>
        <v>0</v>
      </c>
      <c r="D32" s="6" t="str">
        <v/>
      </c>
      <c r="E32" s="6" t="str">
        <v/>
      </c>
      <c r="F32" s="6" t="str">
        <v/>
      </c>
      <c r="G32" s="6" t="str">
        <v/>
      </c>
      <c r="H32" s="6" t="str">
        <v/>
      </c>
      <c r="I32" s="6" t="str">
        <v/>
      </c>
      <c r="J32" s="6" t="str">
        <v/>
      </c>
    </row>
    <row r="33" spans="1:10" x14ac:dyDescent="0.2">
      <c r="A33" s="13" t="str">
        <f>Table1[Invoice + Item]</f>
        <v>8718-1</v>
      </c>
      <c r="B33" t="str">
        <f t="shared" si="0"/>
        <v/>
      </c>
      <c r="C33" s="6">
        <f t="array" ref="C33:J33">IFERROR(INDEX(Table1[Forensic Intelligence Substances], SMALL(IF($A33 =Table1[Invoice + Item], ROW(Table1[Forensic Intelligence Substances]) - 3, ""), COLUMN() - 2)), "")</f>
        <v>0</v>
      </c>
      <c r="D33" s="6" t="str">
        <v/>
      </c>
      <c r="E33" s="6" t="str">
        <v/>
      </c>
      <c r="F33" s="6" t="str">
        <v/>
      </c>
      <c r="G33" s="6" t="str">
        <v/>
      </c>
      <c r="H33" s="6" t="str">
        <v/>
      </c>
      <c r="I33" s="6" t="str">
        <v/>
      </c>
      <c r="J33" s="6" t="str">
        <v/>
      </c>
    </row>
    <row r="34" spans="1:10" x14ac:dyDescent="0.2">
      <c r="A34" s="13" t="str">
        <f>Table1[Invoice + Item]</f>
        <v>8896-14</v>
      </c>
      <c r="B34" t="str">
        <f t="shared" si="0"/>
        <v/>
      </c>
      <c r="C34" s="6">
        <f t="array" ref="C34:J34">IFERROR(INDEX(Table1[Forensic Intelligence Substances], SMALL(IF($A34 =Table1[Invoice + Item], ROW(Table1[Forensic Intelligence Substances]) - 3, ""), COLUMN() - 2)), "")</f>
        <v>0</v>
      </c>
      <c r="D34" s="6" t="str">
        <v/>
      </c>
      <c r="E34" s="6" t="str">
        <v/>
      </c>
      <c r="F34" s="6" t="str">
        <v/>
      </c>
      <c r="G34" s="6" t="str">
        <v/>
      </c>
      <c r="H34" s="6" t="str">
        <v/>
      </c>
      <c r="I34" s="6" t="str">
        <v/>
      </c>
      <c r="J34" s="6" t="str">
        <v/>
      </c>
    </row>
    <row r="35" spans="1:10" x14ac:dyDescent="0.2">
      <c r="A35" s="13" t="str">
        <f>Table1[Invoice + Item]</f>
        <v>8896-5A</v>
      </c>
      <c r="B35" t="str">
        <f t="shared" si="0"/>
        <v/>
      </c>
      <c r="C35" s="6">
        <f t="array" ref="C35:J35">IFERROR(INDEX(Table1[Forensic Intelligence Substances], SMALL(IF($A35 =Table1[Invoice + Item], ROW(Table1[Forensic Intelligence Substances]) - 3, ""), COLUMN() - 2)), "")</f>
        <v>0</v>
      </c>
      <c r="D35" s="6" t="str">
        <v/>
      </c>
      <c r="E35" s="6" t="str">
        <v/>
      </c>
      <c r="F35" s="6" t="str">
        <v/>
      </c>
      <c r="G35" s="6" t="str">
        <v/>
      </c>
      <c r="H35" s="6" t="str">
        <v/>
      </c>
      <c r="I35" s="6" t="str">
        <v/>
      </c>
      <c r="J35" s="6" t="str">
        <v/>
      </c>
    </row>
    <row r="36" spans="1:10" x14ac:dyDescent="0.2">
      <c r="A36" s="13" t="str">
        <f>Table1[Invoice + Item]</f>
        <v>8896-7</v>
      </c>
      <c r="B36" t="str">
        <f t="shared" si="0"/>
        <v/>
      </c>
      <c r="C36" s="6">
        <f t="array" ref="C36:J36">IFERROR(INDEX(Table1[Forensic Intelligence Substances], SMALL(IF($A36 =Table1[Invoice + Item], ROW(Table1[Forensic Intelligence Substances]) - 3, ""), COLUMN() - 2)), "")</f>
        <v>0</v>
      </c>
      <c r="D36" s="6" t="str">
        <v/>
      </c>
      <c r="E36" s="6" t="str">
        <v/>
      </c>
      <c r="F36" s="6" t="str">
        <v/>
      </c>
      <c r="G36" s="6" t="str">
        <v/>
      </c>
      <c r="H36" s="6" t="str">
        <v/>
      </c>
      <c r="I36" s="6" t="str">
        <v/>
      </c>
      <c r="J36" s="6" t="str">
        <v/>
      </c>
    </row>
    <row r="37" spans="1:10" x14ac:dyDescent="0.2">
      <c r="A37" s="13" t="str">
        <f>Table1[Invoice + Item]</f>
        <v>9893-1</v>
      </c>
      <c r="B37" t="str">
        <f t="shared" si="0"/>
        <v/>
      </c>
      <c r="C37" s="6">
        <f t="array" ref="C37:J37">IFERROR(INDEX(Table1[Forensic Intelligence Substances], SMALL(IF($A37 =Table1[Invoice + Item], ROW(Table1[Forensic Intelligence Substances]) - 3, ""), COLUMN() - 2)), "")</f>
        <v>0</v>
      </c>
      <c r="D37" s="6">
        <v>0</v>
      </c>
      <c r="E37" s="6" t="str">
        <v/>
      </c>
      <c r="F37" s="6" t="str">
        <v/>
      </c>
      <c r="G37" s="6" t="str">
        <v/>
      </c>
      <c r="H37" s="6" t="str">
        <v/>
      </c>
      <c r="I37" s="6" t="str">
        <v/>
      </c>
      <c r="J37" s="6" t="str">
        <v/>
      </c>
    </row>
    <row r="38" spans="1:10" x14ac:dyDescent="0.2">
      <c r="A38" s="13" t="str">
        <f>Table1[Invoice + Item]</f>
        <v>9893-1</v>
      </c>
      <c r="B38" t="str">
        <f t="shared" si="0"/>
        <v/>
      </c>
      <c r="C38" s="6">
        <f t="array" ref="C38:J38">IFERROR(INDEX(Table1[Forensic Intelligence Substances], SMALL(IF($A38 =Table1[Invoice + Item], ROW(Table1[Forensic Intelligence Substances]) - 3, ""), COLUMN() - 2)), "")</f>
        <v>0</v>
      </c>
      <c r="D38" s="6">
        <v>0</v>
      </c>
      <c r="E38" s="6" t="str">
        <v/>
      </c>
      <c r="F38" s="6" t="str">
        <v/>
      </c>
      <c r="G38" s="6" t="str">
        <v/>
      </c>
      <c r="H38" s="6" t="str">
        <v/>
      </c>
      <c r="I38" s="6" t="str">
        <v/>
      </c>
      <c r="J38" s="6" t="str">
        <v/>
      </c>
    </row>
    <row r="39" spans="1:10" x14ac:dyDescent="0.2">
      <c r="A39" s="13" t="str">
        <f>Table1[Invoice + Item]</f>
        <v>0303-1</v>
      </c>
      <c r="B39" t="str">
        <f t="shared" si="0"/>
        <v/>
      </c>
      <c r="C39" s="6">
        <f t="array" ref="C39:J39">IFERROR(INDEX(Table1[Forensic Intelligence Substances], SMALL(IF($A39 =Table1[Invoice + Item], ROW(Table1[Forensic Intelligence Substances]) - 3, ""), COLUMN() - 2)), "")</f>
        <v>0</v>
      </c>
      <c r="D39" s="6" t="str">
        <v/>
      </c>
      <c r="E39" s="6" t="str">
        <v/>
      </c>
      <c r="F39" s="6" t="str">
        <v/>
      </c>
      <c r="G39" s="6" t="str">
        <v/>
      </c>
      <c r="H39" s="6" t="str">
        <v/>
      </c>
      <c r="I39" s="6" t="str">
        <v/>
      </c>
      <c r="J39" s="6" t="str">
        <v/>
      </c>
    </row>
    <row r="40" spans="1:10" x14ac:dyDescent="0.2">
      <c r="A40" s="13" t="str">
        <f>Table1[Invoice + Item]</f>
        <v>0303-2A</v>
      </c>
      <c r="B40" t="str">
        <f t="shared" si="0"/>
        <v/>
      </c>
      <c r="C40" s="6">
        <f t="array" ref="C40:J40">IFERROR(INDEX(Table1[Forensic Intelligence Substances], SMALL(IF($A40 =Table1[Invoice + Item], ROW(Table1[Forensic Intelligence Substances]) - 3, ""), COLUMN() - 2)), "")</f>
        <v>0</v>
      </c>
      <c r="D40" s="6">
        <v>0</v>
      </c>
      <c r="E40" s="6" t="str">
        <v/>
      </c>
      <c r="F40" s="6" t="str">
        <v/>
      </c>
      <c r="G40" s="6" t="str">
        <v/>
      </c>
      <c r="H40" s="6" t="str">
        <v/>
      </c>
      <c r="I40" s="6" t="str">
        <v/>
      </c>
      <c r="J40" s="6" t="str">
        <v/>
      </c>
    </row>
    <row r="41" spans="1:10" x14ac:dyDescent="0.2">
      <c r="A41" s="13" t="str">
        <f>Table1[Invoice + Item]</f>
        <v>0303-2A</v>
      </c>
      <c r="B41" t="str">
        <f t="shared" si="0"/>
        <v/>
      </c>
      <c r="C41" s="6">
        <f t="array" ref="C41:J41">IFERROR(INDEX(Table1[Forensic Intelligence Substances], SMALL(IF($A41 =Table1[Invoice + Item], ROW(Table1[Forensic Intelligence Substances]) - 3, ""), COLUMN() - 2)), "")</f>
        <v>0</v>
      </c>
      <c r="D41" s="6">
        <v>0</v>
      </c>
      <c r="E41" s="6" t="str">
        <v/>
      </c>
      <c r="F41" s="6" t="str">
        <v/>
      </c>
      <c r="G41" s="6" t="str">
        <v/>
      </c>
      <c r="H41" s="6" t="str">
        <v/>
      </c>
      <c r="I41" s="6" t="str">
        <v/>
      </c>
      <c r="J41" s="6" t="str">
        <v/>
      </c>
    </row>
    <row r="42" spans="1:10" x14ac:dyDescent="0.2">
      <c r="A42" s="13" t="str">
        <f>Table1[Invoice + Item]</f>
        <v>0303-2B</v>
      </c>
      <c r="B42" t="str">
        <f t="shared" si="0"/>
        <v>Cocaine</v>
      </c>
      <c r="C42" s="6">
        <f t="array" ref="C42:J42">IFERROR(INDEX(Table1[Forensic Intelligence Substances], SMALL(IF($A42 =Table1[Invoice + Item], ROW(Table1[Forensic Intelligence Substances]) - 3, ""), COLUMN() - 2)), "")</f>
        <v>0</v>
      </c>
      <c r="D42" s="6" t="str">
        <v>Cocaine</v>
      </c>
      <c r="E42" s="6">
        <v>0</v>
      </c>
      <c r="F42" s="6">
        <v>0</v>
      </c>
      <c r="G42" s="6" t="str">
        <v/>
      </c>
      <c r="H42" s="6" t="str">
        <v/>
      </c>
      <c r="I42" s="6" t="str">
        <v/>
      </c>
      <c r="J42" s="6" t="str">
        <v/>
      </c>
    </row>
    <row r="43" spans="1:10" x14ac:dyDescent="0.2">
      <c r="A43" s="13" t="str">
        <f>Table1[Invoice + Item]</f>
        <v>0303-2B</v>
      </c>
      <c r="B43" t="str">
        <f t="shared" si="0"/>
        <v>Cocaine</v>
      </c>
      <c r="C43" s="6">
        <f t="array" ref="C43:J43">IFERROR(INDEX(Table1[Forensic Intelligence Substances], SMALL(IF($A43 =Table1[Invoice + Item], ROW(Table1[Forensic Intelligence Substances]) - 3, ""), COLUMN() - 2)), "")</f>
        <v>0</v>
      </c>
      <c r="D43" s="6" t="str">
        <v>Cocaine</v>
      </c>
      <c r="E43" s="6">
        <v>0</v>
      </c>
      <c r="F43" s="6">
        <v>0</v>
      </c>
      <c r="G43" s="6" t="str">
        <v/>
      </c>
      <c r="H43" s="6" t="str">
        <v/>
      </c>
      <c r="I43" s="6" t="str">
        <v/>
      </c>
      <c r="J43" s="6" t="str">
        <v/>
      </c>
    </row>
    <row r="44" spans="1:10" x14ac:dyDescent="0.2">
      <c r="A44" s="13" t="str">
        <f>Table1[Invoice + Item]</f>
        <v>0303-2B</v>
      </c>
      <c r="B44" t="str">
        <f t="shared" si="0"/>
        <v>Cocaine</v>
      </c>
      <c r="C44" s="6">
        <f t="array" ref="C44:J44">IFERROR(INDEX(Table1[Forensic Intelligence Substances], SMALL(IF($A44 =Table1[Invoice + Item], ROW(Table1[Forensic Intelligence Substances]) - 3, ""), COLUMN() - 2)), "")</f>
        <v>0</v>
      </c>
      <c r="D44" s="6" t="str">
        <v>Cocaine</v>
      </c>
      <c r="E44" s="6">
        <v>0</v>
      </c>
      <c r="F44" s="6">
        <v>0</v>
      </c>
      <c r="G44" s="6" t="str">
        <v/>
      </c>
      <c r="H44" s="6" t="str">
        <v/>
      </c>
      <c r="I44" s="6" t="str">
        <v/>
      </c>
      <c r="J44" s="6" t="str">
        <v/>
      </c>
    </row>
    <row r="45" spans="1:10" x14ac:dyDescent="0.2">
      <c r="A45" s="13" t="str">
        <f>Table1[Invoice + Item]</f>
        <v>0303-2B</v>
      </c>
      <c r="B45" t="str">
        <f t="shared" si="0"/>
        <v>Cocaine</v>
      </c>
      <c r="C45" s="6">
        <f t="array" ref="C45:J45">IFERROR(INDEX(Table1[Forensic Intelligence Substances], SMALL(IF($A45 =Table1[Invoice + Item], ROW(Table1[Forensic Intelligence Substances]) - 3, ""), COLUMN() - 2)), "")</f>
        <v>0</v>
      </c>
      <c r="D45" s="6" t="str">
        <v>Cocaine</v>
      </c>
      <c r="E45" s="6">
        <v>0</v>
      </c>
      <c r="F45" s="6">
        <v>0</v>
      </c>
      <c r="G45" s="6" t="str">
        <v/>
      </c>
      <c r="H45" s="6" t="str">
        <v/>
      </c>
      <c r="I45" s="6" t="str">
        <v/>
      </c>
      <c r="J45" s="6" t="str">
        <v/>
      </c>
    </row>
    <row r="46" spans="1:10" x14ac:dyDescent="0.2">
      <c r="A46" s="13"/>
    </row>
    <row r="47" spans="1:10" x14ac:dyDescent="0.2">
      <c r="A47" s="13"/>
    </row>
  </sheetData>
  <conditionalFormatting sqref="A3">
    <cfRule type="duplicateValues" dxfId="13" priority="4" stopIfTrue="1"/>
  </conditionalFormatting>
  <conditionalFormatting sqref="A4:A47">
    <cfRule type="duplicateValues" dxfId="12" priority="18" stopIfTrue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3"/>
  <sheetViews>
    <sheetView workbookViewId="0">
      <selection activeCell="B33" sqref="B33"/>
    </sheetView>
  </sheetViews>
  <sheetFormatPr defaultRowHeight="12.75" x14ac:dyDescent="0.2"/>
  <cols>
    <col min="1" max="1" width="15.85546875" bestFit="1" customWidth="1"/>
    <col min="2" max="2" width="39.28515625" bestFit="1" customWidth="1"/>
    <col min="3" max="3" width="27.42578125" bestFit="1" customWidth="1"/>
    <col min="13" max="13" width="39.28515625" bestFit="1" customWidth="1"/>
  </cols>
  <sheetData>
    <row r="1" spans="1:13" x14ac:dyDescent="0.2">
      <c r="A1" s="4" t="s">
        <v>63</v>
      </c>
      <c r="B1" s="4" t="s">
        <v>64</v>
      </c>
      <c r="M1" s="11"/>
    </row>
    <row r="2" spans="1:13" x14ac:dyDescent="0.2">
      <c r="A2" s="16" t="s">
        <v>33</v>
      </c>
      <c r="B2" s="24" t="s">
        <v>20</v>
      </c>
      <c r="M2" s="11"/>
    </row>
    <row r="3" spans="1:13" x14ac:dyDescent="0.2">
      <c r="A3" s="16" t="s">
        <v>22</v>
      </c>
      <c r="B3" s="16" t="s">
        <v>17</v>
      </c>
      <c r="M3" s="11"/>
    </row>
    <row r="4" spans="1:13" ht="15" x14ac:dyDescent="0.2">
      <c r="A4" s="19" t="s">
        <v>59</v>
      </c>
      <c r="B4" s="14" t="s">
        <v>40</v>
      </c>
      <c r="M4" s="11"/>
    </row>
    <row r="5" spans="1:13" ht="15" x14ac:dyDescent="0.2">
      <c r="A5" s="20" t="s">
        <v>60</v>
      </c>
      <c r="B5" s="16" t="s">
        <v>23</v>
      </c>
      <c r="M5" s="11"/>
    </row>
    <row r="6" spans="1:13" x14ac:dyDescent="0.2">
      <c r="A6" s="14" t="s">
        <v>38</v>
      </c>
      <c r="B6" s="16" t="s">
        <v>35</v>
      </c>
      <c r="M6" s="11"/>
    </row>
    <row r="7" spans="1:13" x14ac:dyDescent="0.2">
      <c r="A7" s="17" t="s">
        <v>27</v>
      </c>
      <c r="B7" s="16" t="s">
        <v>31</v>
      </c>
      <c r="M7" s="11"/>
    </row>
    <row r="8" spans="1:13" ht="15" x14ac:dyDescent="0.2">
      <c r="A8" s="19" t="s">
        <v>61</v>
      </c>
      <c r="B8" s="14" t="s">
        <v>12</v>
      </c>
      <c r="M8" s="11"/>
    </row>
    <row r="9" spans="1:13" x14ac:dyDescent="0.2">
      <c r="A9" s="16" t="s">
        <v>37</v>
      </c>
      <c r="B9" s="14" t="s">
        <v>30</v>
      </c>
      <c r="M9" s="11"/>
    </row>
    <row r="10" spans="1:13" x14ac:dyDescent="0.2">
      <c r="A10" s="16" t="s">
        <v>24</v>
      </c>
      <c r="B10" s="16"/>
      <c r="M10" s="3"/>
    </row>
    <row r="11" spans="1:13" x14ac:dyDescent="0.2">
      <c r="A11" s="16" t="s">
        <v>36</v>
      </c>
      <c r="B11" s="16"/>
      <c r="M11" s="11"/>
    </row>
    <row r="12" spans="1:13" x14ac:dyDescent="0.2">
      <c r="A12" s="14" t="s">
        <v>41</v>
      </c>
      <c r="B12" s="14"/>
      <c r="M12" s="11"/>
    </row>
    <row r="13" spans="1:13" x14ac:dyDescent="0.2">
      <c r="A13" s="15" t="s">
        <v>16</v>
      </c>
      <c r="B13" s="14"/>
      <c r="M13" s="11"/>
    </row>
    <row r="14" spans="1:13" ht="15" x14ac:dyDescent="0.2">
      <c r="A14" s="19" t="s">
        <v>62</v>
      </c>
      <c r="B14" s="23"/>
      <c r="M14" s="11"/>
    </row>
    <row r="15" spans="1:13" x14ac:dyDescent="0.2">
      <c r="A15" s="17" t="s">
        <v>34</v>
      </c>
      <c r="B15" s="16"/>
      <c r="M15" s="11"/>
    </row>
    <row r="16" spans="1:13" x14ac:dyDescent="0.2">
      <c r="A16" s="16" t="s">
        <v>14</v>
      </c>
      <c r="B16" s="16"/>
      <c r="M16" s="1"/>
    </row>
    <row r="17" spans="1:13" x14ac:dyDescent="0.2">
      <c r="A17" s="16" t="s">
        <v>21</v>
      </c>
      <c r="B17" s="16"/>
      <c r="M17" s="21"/>
    </row>
    <row r="18" spans="1:13" x14ac:dyDescent="0.2">
      <c r="A18" s="16" t="s">
        <v>19</v>
      </c>
      <c r="B18" s="16"/>
      <c r="M18" s="11"/>
    </row>
    <row r="19" spans="1:13" x14ac:dyDescent="0.2">
      <c r="A19" s="15" t="s">
        <v>15</v>
      </c>
      <c r="B19" s="14"/>
      <c r="M19" s="11"/>
    </row>
    <row r="20" spans="1:13" x14ac:dyDescent="0.2">
      <c r="A20" s="16" t="s">
        <v>29</v>
      </c>
      <c r="B20" s="16"/>
      <c r="M20" s="11"/>
    </row>
    <row r="21" spans="1:13" x14ac:dyDescent="0.2">
      <c r="A21" s="14" t="s">
        <v>25</v>
      </c>
      <c r="B21" s="14"/>
      <c r="M21" s="3"/>
    </row>
    <row r="22" spans="1:13" x14ac:dyDescent="0.2">
      <c r="A22" s="14" t="s">
        <v>39</v>
      </c>
      <c r="B22" s="14"/>
      <c r="M22" s="11"/>
    </row>
    <row r="23" spans="1:13" x14ac:dyDescent="0.2">
      <c r="A23" s="14" t="s">
        <v>42</v>
      </c>
      <c r="B23" s="14"/>
      <c r="M23" s="3"/>
    </row>
    <row r="24" spans="1:13" x14ac:dyDescent="0.2">
      <c r="A24" s="17" t="s">
        <v>26</v>
      </c>
      <c r="B24" s="16"/>
      <c r="M24" s="3"/>
    </row>
    <row r="25" spans="1:13" x14ac:dyDescent="0.2">
      <c r="A25" s="14" t="s">
        <v>28</v>
      </c>
      <c r="B25" s="14"/>
      <c r="M25" s="3"/>
    </row>
    <row r="26" spans="1:13" x14ac:dyDescent="0.2">
      <c r="A26" s="16" t="s">
        <v>32</v>
      </c>
      <c r="B26" s="16"/>
      <c r="M26" s="11"/>
    </row>
    <row r="27" spans="1:13" x14ac:dyDescent="0.2">
      <c r="A27" s="22" t="s">
        <v>18</v>
      </c>
      <c r="B27" s="22"/>
      <c r="M27" s="11"/>
    </row>
    <row r="28" spans="1:13" x14ac:dyDescent="0.2">
      <c r="A28" s="25" t="s">
        <v>13</v>
      </c>
      <c r="B28" s="25"/>
      <c r="M28" s="11"/>
    </row>
    <row r="29" spans="1:13" x14ac:dyDescent="0.2">
      <c r="A29" s="25"/>
      <c r="B29" s="25"/>
      <c r="M29" s="11"/>
    </row>
    <row r="30" spans="1:13" x14ac:dyDescent="0.2">
      <c r="M30" s="11"/>
    </row>
    <row r="31" spans="1:13" x14ac:dyDescent="0.2">
      <c r="M31" s="3"/>
    </row>
    <row r="32" spans="1:13" x14ac:dyDescent="0.2">
      <c r="M32" s="11"/>
    </row>
    <row r="33" spans="13:13" x14ac:dyDescent="0.2">
      <c r="M33" s="11"/>
    </row>
  </sheetData>
  <sortState ref="M1:M619">
    <sortCondition ref="M1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</vt:lpstr>
      <vt:lpstr>Data</vt:lpstr>
      <vt:lpstr>Packaging Standards</vt:lpstr>
      <vt:lpstr>BORO Ref</vt:lpstr>
      <vt:lpstr>IDs</vt:lpstr>
      <vt:lpstr>INDs</vt:lpstr>
      <vt:lpstr>Ds</vt:lpstr>
      <vt:lpstr>FED</vt:lpstr>
      <vt:lpstr>FENT</vt:lpstr>
      <vt:lpstr>FIS</vt:lpstr>
      <vt:lpstr>Diluant 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ROTH, MADELINE</cp:lastModifiedBy>
  <dcterms:created xsi:type="dcterms:W3CDTF">2018-07-06T17:01:51Z</dcterms:created>
  <dcterms:modified xsi:type="dcterms:W3CDTF">2018-07-23T15:14:36Z</dcterms:modified>
</cp:coreProperties>
</file>